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D:\原本\Aその2\てすとじょう\実データ\event\event-pic\グラビティポケモン募集20250126\"/>
    </mc:Choice>
  </mc:AlternateContent>
  <xr:revisionPtr revIDLastSave="0" documentId="13_ncr:1_{14C6A2C0-B80C-4C58-984A-C69C3791054F}" xr6:coauthVersionLast="47" xr6:coauthVersionMax="47" xr10:uidLastSave="{00000000-0000-0000-0000-000000000000}"/>
  <bookViews>
    <workbookView xWindow="-110" yWindow="-110" windowWidth="19420" windowHeight="10300" tabRatio="645" activeTab="1" xr2:uid="{00000000-000D-0000-FFFF-FFFF00000000}"/>
  </bookViews>
  <sheets>
    <sheet name="説明" sheetId="1" r:id="rId1"/>
    <sheet name="全コメントデータ" sheetId="2" r:id="rId2"/>
    <sheet name="ポケモン集計" sheetId="4" r:id="rId3"/>
    <sheet name="ポケモンマスタ" sheetId="6" r:id="rId4"/>
    <sheet name="印象集計" sheetId="7" r:id="rId5"/>
    <sheet name="タイプカウント" sheetId="9" r:id="rId6"/>
    <sheet name="複数あげた人の意見" sheetId="11" r:id="rId7"/>
    <sheet name="パーティづくり" sheetId="10" r:id="rId8"/>
  </sheets>
  <definedNames>
    <definedName name="_xlnm._FilterDatabase" localSheetId="7" hidden="1">パーティづくり!$A$81:$B$102</definedName>
  </definedName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6" l="1"/>
  <c r="Q10" i="6"/>
  <c r="Q5" i="6"/>
  <c r="Q3" i="6"/>
  <c r="Q6" i="6"/>
  <c r="Q16" i="6"/>
  <c r="Q4" i="6"/>
  <c r="Q17" i="6"/>
  <c r="Q7" i="6"/>
  <c r="Q11" i="6"/>
  <c r="Q12" i="6"/>
  <c r="Q13" i="6"/>
  <c r="Q8" i="6"/>
  <c r="Q29" i="6"/>
  <c r="Q9" i="6"/>
  <c r="Q30" i="6"/>
  <c r="Q14" i="6"/>
  <c r="Q31" i="6"/>
  <c r="Q32" i="6"/>
  <c r="Q18" i="6"/>
  <c r="Q19" i="6"/>
  <c r="Q20" i="6"/>
  <c r="Q15" i="6"/>
  <c r="Q21" i="6"/>
  <c r="Q126" i="6"/>
  <c r="Q127" i="6"/>
  <c r="Q22" i="6"/>
  <c r="Q128" i="6"/>
  <c r="Q129" i="6"/>
  <c r="Q130" i="6"/>
  <c r="Q33" i="6"/>
  <c r="Q34" i="6"/>
  <c r="Q131" i="6"/>
  <c r="Q35" i="6"/>
  <c r="Q36" i="6"/>
  <c r="Q23" i="6"/>
  <c r="Q132" i="6"/>
  <c r="Q24" i="6"/>
  <c r="Q37" i="6"/>
  <c r="Q38" i="6"/>
  <c r="Q25" i="6"/>
  <c r="Q39" i="6"/>
  <c r="Q40" i="6"/>
  <c r="Q26" i="6"/>
  <c r="Q133" i="6"/>
  <c r="Q134" i="6"/>
  <c r="Q41" i="6"/>
  <c r="Q42" i="6"/>
  <c r="Q43" i="6"/>
  <c r="Q44" i="6"/>
  <c r="Q45" i="6"/>
  <c r="Q135" i="6"/>
  <c r="Q136" i="6"/>
  <c r="Q46" i="6"/>
  <c r="Q27" i="6"/>
  <c r="Q137" i="6"/>
  <c r="Q47" i="6"/>
  <c r="Q138" i="6"/>
  <c r="Q48" i="6"/>
  <c r="Q49" i="6"/>
  <c r="Q139" i="6"/>
  <c r="Q140" i="6"/>
  <c r="Q141" i="6"/>
  <c r="Q50" i="6"/>
  <c r="Q51" i="6"/>
  <c r="Q52" i="6"/>
  <c r="Q28" i="6"/>
  <c r="Q53" i="6"/>
  <c r="Q54" i="6"/>
  <c r="Q55" i="6"/>
  <c r="Q56" i="6"/>
  <c r="Q142" i="6"/>
  <c r="Q57" i="6"/>
  <c r="Q58" i="6"/>
  <c r="Q59" i="6"/>
  <c r="Q143" i="6"/>
  <c r="Q144" i="6"/>
  <c r="Q145" i="6"/>
  <c r="Q60" i="6"/>
  <c r="Q61" i="6"/>
  <c r="Q146" i="6"/>
  <c r="Q62" i="6"/>
  <c r="Q63" i="6"/>
  <c r="Q64" i="6"/>
  <c r="Q65" i="6"/>
  <c r="Q66" i="6"/>
  <c r="Q67" i="6"/>
  <c r="Q147" i="6"/>
  <c r="Q148" i="6"/>
  <c r="Q68" i="6"/>
  <c r="Q69" i="6"/>
  <c r="Q149" i="6"/>
  <c r="Q150" i="6"/>
  <c r="Q151" i="6"/>
  <c r="Q152" i="6"/>
  <c r="Q153" i="6"/>
  <c r="Q154" i="6"/>
  <c r="Q70" i="6"/>
  <c r="Q71" i="6"/>
  <c r="Q72" i="6"/>
  <c r="Q73" i="6"/>
  <c r="Q74" i="6"/>
  <c r="Q75" i="6"/>
  <c r="Q155" i="6"/>
  <c r="Q156" i="6"/>
  <c r="Q157" i="6"/>
  <c r="Q158" i="6"/>
  <c r="Q76" i="6"/>
  <c r="Q77" i="6"/>
  <c r="Q78" i="6"/>
  <c r="Q79" i="6"/>
  <c r="Q80" i="6"/>
  <c r="Q81" i="6"/>
  <c r="Q82" i="6"/>
  <c r="Q83" i="6"/>
  <c r="Q84" i="6"/>
  <c r="Q85" i="6"/>
  <c r="Q159" i="6"/>
  <c r="Q86" i="6"/>
  <c r="Q87" i="6"/>
  <c r="Q88" i="6"/>
  <c r="Q160" i="6"/>
  <c r="Q89" i="6"/>
  <c r="Q90" i="6"/>
  <c r="Q161" i="6"/>
  <c r="Q91" i="6"/>
  <c r="Q92" i="6"/>
  <c r="Q162" i="6"/>
  <c r="Q163" i="6"/>
  <c r="Q164" i="6"/>
  <c r="Q165" i="6"/>
  <c r="Q166" i="6"/>
  <c r="Q167" i="6"/>
  <c r="Q168" i="6"/>
  <c r="Q93" i="6"/>
  <c r="Q94" i="6"/>
  <c r="Q95" i="6"/>
  <c r="Q169" i="6"/>
  <c r="Q170" i="6"/>
  <c r="Q171" i="6"/>
  <c r="Q96" i="6"/>
  <c r="Q172" i="6"/>
  <c r="Q173" i="6"/>
  <c r="Q174" i="6"/>
  <c r="Q175" i="6"/>
  <c r="Q176" i="6"/>
  <c r="Q177" i="6"/>
  <c r="Q97" i="6"/>
  <c r="Q178" i="6"/>
  <c r="Q179" i="6"/>
  <c r="Q98" i="6"/>
  <c r="Q180" i="6"/>
  <c r="Q99" i="6"/>
  <c r="Q181" i="6"/>
  <c r="Q182" i="6"/>
  <c r="Q183" i="6"/>
  <c r="Q184" i="6"/>
  <c r="Q185" i="6"/>
  <c r="Q100" i="6"/>
  <c r="Q101" i="6"/>
  <c r="Q102" i="6"/>
  <c r="Q103" i="6"/>
  <c r="Q104" i="6"/>
  <c r="Q105" i="6"/>
  <c r="Q106" i="6"/>
  <c r="Q107" i="6"/>
  <c r="Q108" i="6"/>
  <c r="Q109" i="6"/>
  <c r="Q110" i="6"/>
  <c r="Q186" i="6"/>
  <c r="Q111" i="6"/>
  <c r="Q112" i="6"/>
  <c r="Q113" i="6"/>
  <c r="Q114" i="6"/>
  <c r="Q115" i="6"/>
  <c r="Q187" i="6"/>
  <c r="Q188" i="6"/>
  <c r="Q189" i="6"/>
  <c r="Q116" i="6"/>
  <c r="Q190" i="6"/>
  <c r="Q191" i="6"/>
  <c r="Q192" i="6"/>
  <c r="Q193" i="6"/>
  <c r="Q117" i="6"/>
  <c r="Q118" i="6"/>
  <c r="Q119" i="6"/>
  <c r="Q120" i="6"/>
  <c r="Q121" i="6"/>
  <c r="Q194" i="6"/>
  <c r="Q195" i="6"/>
  <c r="Q196" i="6"/>
  <c r="Q197" i="6"/>
  <c r="Q198" i="6"/>
  <c r="Q122" i="6"/>
  <c r="Q123" i="6"/>
  <c r="Q124" i="6"/>
  <c r="Q125" i="6"/>
  <c r="Q199" i="6"/>
  <c r="Q200" i="6"/>
  <c r="Q201" i="6"/>
  <c r="Q202" i="6"/>
  <c r="Q203" i="6"/>
  <c r="Q204" i="6"/>
  <c r="Q205" i="6"/>
  <c r="B203" i="6"/>
  <c r="K203" i="6" s="1"/>
  <c r="C203" i="6"/>
  <c r="D203" i="6"/>
  <c r="F375" i="2"/>
  <c r="B124" i="6"/>
  <c r="K124" i="6" s="1"/>
  <c r="B125" i="6"/>
  <c r="B199" i="6"/>
  <c r="K199" i="6" s="1"/>
  <c r="B200" i="6"/>
  <c r="K200" i="6" s="1"/>
  <c r="B201" i="6"/>
  <c r="K201" i="6" s="1"/>
  <c r="B202" i="6"/>
  <c r="K202" i="6" s="1"/>
  <c r="C124" i="6"/>
  <c r="C125" i="6"/>
  <c r="C199" i="6"/>
  <c r="C200" i="6"/>
  <c r="C201" i="6"/>
  <c r="C202" i="6"/>
  <c r="D124" i="6"/>
  <c r="D125" i="6"/>
  <c r="D199" i="6"/>
  <c r="D200" i="6"/>
  <c r="D201" i="6"/>
  <c r="D202" i="6"/>
  <c r="K125" i="6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B2" i="6"/>
  <c r="B10" i="6"/>
  <c r="K10" i="6" s="1"/>
  <c r="B6" i="6"/>
  <c r="K6" i="6" s="1"/>
  <c r="B16" i="6"/>
  <c r="K16" i="6" s="1"/>
  <c r="B5" i="6"/>
  <c r="K5" i="6" s="1"/>
  <c r="B3" i="6"/>
  <c r="K3" i="6" s="1"/>
  <c r="B4" i="6"/>
  <c r="K4" i="6" s="1"/>
  <c r="B17" i="6"/>
  <c r="K17" i="6" s="1"/>
  <c r="B11" i="6"/>
  <c r="K11" i="6" s="1"/>
  <c r="B12" i="6"/>
  <c r="K12" i="6" s="1"/>
  <c r="B7" i="6"/>
  <c r="K7" i="6" s="1"/>
  <c r="B13" i="6"/>
  <c r="K13" i="6" s="1"/>
  <c r="B8" i="6"/>
  <c r="K8" i="6" s="1"/>
  <c r="B29" i="6"/>
  <c r="K29" i="6" s="1"/>
  <c r="B9" i="6"/>
  <c r="K9" i="6" s="1"/>
  <c r="B18" i="6"/>
  <c r="K18" i="6" s="1"/>
  <c r="B30" i="6"/>
  <c r="K30" i="6" s="1"/>
  <c r="B14" i="6"/>
  <c r="K14" i="6" s="1"/>
  <c r="B31" i="6"/>
  <c r="K31" i="6" s="1"/>
  <c r="B19" i="6"/>
  <c r="K19" i="6" s="1"/>
  <c r="B20" i="6"/>
  <c r="K20" i="6" s="1"/>
  <c r="B15" i="6"/>
  <c r="K15" i="6" s="1"/>
  <c r="B21" i="6"/>
  <c r="K21" i="6" s="1"/>
  <c r="B130" i="6"/>
  <c r="K130" i="6" s="1"/>
  <c r="B126" i="6"/>
  <c r="K126" i="6" s="1"/>
  <c r="B127" i="6"/>
  <c r="K127" i="6" s="1"/>
  <c r="B32" i="6"/>
  <c r="K32" i="6" s="1"/>
  <c r="B22" i="6"/>
  <c r="K22" i="6" s="1"/>
  <c r="B128" i="6"/>
  <c r="K128" i="6" s="1"/>
  <c r="B33" i="6"/>
  <c r="K33" i="6" s="1"/>
  <c r="B34" i="6"/>
  <c r="K34" i="6" s="1"/>
  <c r="B131" i="6"/>
  <c r="K131" i="6" s="1"/>
  <c r="B35" i="6"/>
  <c r="K35" i="6" s="1"/>
  <c r="B36" i="6"/>
  <c r="K36" i="6" s="1"/>
  <c r="B23" i="6"/>
  <c r="K23" i="6" s="1"/>
  <c r="B132" i="6"/>
  <c r="K132" i="6" s="1"/>
  <c r="B24" i="6"/>
  <c r="K24" i="6" s="1"/>
  <c r="B37" i="6"/>
  <c r="K37" i="6" s="1"/>
  <c r="B38" i="6"/>
  <c r="K38" i="6" s="1"/>
  <c r="B25" i="6"/>
  <c r="K25" i="6" s="1"/>
  <c r="B39" i="6"/>
  <c r="K39" i="6" s="1"/>
  <c r="B40" i="6"/>
  <c r="K40" i="6" s="1"/>
  <c r="B26" i="6"/>
  <c r="K26" i="6" s="1"/>
  <c r="B133" i="6"/>
  <c r="K133" i="6" s="1"/>
  <c r="B134" i="6"/>
  <c r="K134" i="6" s="1"/>
  <c r="B41" i="6"/>
  <c r="K41" i="6" s="1"/>
  <c r="B52" i="6"/>
  <c r="K52" i="6" s="1"/>
  <c r="B42" i="6"/>
  <c r="K42" i="6" s="1"/>
  <c r="B43" i="6"/>
  <c r="K43" i="6" s="1"/>
  <c r="B44" i="6"/>
  <c r="K44" i="6" s="1"/>
  <c r="B45" i="6"/>
  <c r="K45" i="6" s="1"/>
  <c r="B135" i="6"/>
  <c r="K135" i="6" s="1"/>
  <c r="B136" i="6"/>
  <c r="K136" i="6" s="1"/>
  <c r="B46" i="6"/>
  <c r="K46" i="6" s="1"/>
  <c r="B27" i="6"/>
  <c r="K27" i="6" s="1"/>
  <c r="B137" i="6"/>
  <c r="K137" i="6" s="1"/>
  <c r="B47" i="6"/>
  <c r="K47" i="6" s="1"/>
  <c r="B138" i="6"/>
  <c r="K138" i="6" s="1"/>
  <c r="B48" i="6"/>
  <c r="K48" i="6" s="1"/>
  <c r="B49" i="6"/>
  <c r="K49" i="6" s="1"/>
  <c r="B139" i="6"/>
  <c r="K139" i="6" s="1"/>
  <c r="B140" i="6"/>
  <c r="K140" i="6" s="1"/>
  <c r="B141" i="6"/>
  <c r="K141" i="6" s="1"/>
  <c r="B54" i="6"/>
  <c r="K54" i="6" s="1"/>
  <c r="B50" i="6"/>
  <c r="K50" i="6" s="1"/>
  <c r="B51" i="6"/>
  <c r="K51" i="6" s="1"/>
  <c r="B55" i="6"/>
  <c r="K55" i="6" s="1"/>
  <c r="B56" i="6"/>
  <c r="K56" i="6" s="1"/>
  <c r="B142" i="6"/>
  <c r="K142" i="6" s="1"/>
  <c r="B57" i="6"/>
  <c r="K57" i="6" s="1"/>
  <c r="B58" i="6"/>
  <c r="K58" i="6" s="1"/>
  <c r="B59" i="6"/>
  <c r="K59" i="6" s="1"/>
  <c r="B143" i="6"/>
  <c r="K143" i="6" s="1"/>
  <c r="B28" i="6"/>
  <c r="K28" i="6" s="1"/>
  <c r="B144" i="6"/>
  <c r="K144" i="6" s="1"/>
  <c r="B145" i="6"/>
  <c r="K145" i="6" s="1"/>
  <c r="B60" i="6"/>
  <c r="K60" i="6" s="1"/>
  <c r="B61" i="6"/>
  <c r="K61" i="6" s="1"/>
  <c r="B146" i="6"/>
  <c r="K146" i="6" s="1"/>
  <c r="B62" i="6"/>
  <c r="K62" i="6" s="1"/>
  <c r="B63" i="6"/>
  <c r="K63" i="6" s="1"/>
  <c r="B64" i="6"/>
  <c r="K64" i="6" s="1"/>
  <c r="B65" i="6"/>
  <c r="K65" i="6" s="1"/>
  <c r="B66" i="6"/>
  <c r="K66" i="6" s="1"/>
  <c r="B67" i="6"/>
  <c r="K67" i="6" s="1"/>
  <c r="B147" i="6"/>
  <c r="K147" i="6" s="1"/>
  <c r="B148" i="6"/>
  <c r="K148" i="6" s="1"/>
  <c r="B68" i="6"/>
  <c r="K68" i="6" s="1"/>
  <c r="B69" i="6"/>
  <c r="K69" i="6" s="1"/>
  <c r="B149" i="6"/>
  <c r="K149" i="6" s="1"/>
  <c r="B150" i="6"/>
  <c r="K150" i="6" s="1"/>
  <c r="B151" i="6"/>
  <c r="K151" i="6" s="1"/>
  <c r="B152" i="6"/>
  <c r="K152" i="6" s="1"/>
  <c r="B153" i="6"/>
  <c r="K153" i="6" s="1"/>
  <c r="B154" i="6"/>
  <c r="K154" i="6" s="1"/>
  <c r="B70" i="6"/>
  <c r="K70" i="6" s="1"/>
  <c r="B71" i="6"/>
  <c r="K71" i="6" s="1"/>
  <c r="B72" i="6"/>
  <c r="K72" i="6" s="1"/>
  <c r="B73" i="6"/>
  <c r="K73" i="6" s="1"/>
  <c r="B74" i="6"/>
  <c r="K74" i="6" s="1"/>
  <c r="B75" i="6"/>
  <c r="K75" i="6" s="1"/>
  <c r="B155" i="6"/>
  <c r="K155" i="6" s="1"/>
  <c r="B156" i="6"/>
  <c r="K156" i="6" s="1"/>
  <c r="B157" i="6"/>
  <c r="K157" i="6" s="1"/>
  <c r="B158" i="6"/>
  <c r="K158" i="6" s="1"/>
  <c r="B76" i="6"/>
  <c r="K76" i="6" s="1"/>
  <c r="B53" i="6"/>
  <c r="K53" i="6" s="1"/>
  <c r="B77" i="6"/>
  <c r="K77" i="6" s="1"/>
  <c r="B78" i="6"/>
  <c r="K78" i="6" s="1"/>
  <c r="B79" i="6"/>
  <c r="K79" i="6" s="1"/>
  <c r="B80" i="6"/>
  <c r="K80" i="6" s="1"/>
  <c r="B81" i="6"/>
  <c r="K81" i="6" s="1"/>
  <c r="B82" i="6"/>
  <c r="K82" i="6" s="1"/>
  <c r="B83" i="6"/>
  <c r="K83" i="6" s="1"/>
  <c r="B84" i="6"/>
  <c r="K84" i="6" s="1"/>
  <c r="B85" i="6"/>
  <c r="K85" i="6" s="1"/>
  <c r="B159" i="6"/>
  <c r="K159" i="6" s="1"/>
  <c r="B86" i="6"/>
  <c r="K86" i="6" s="1"/>
  <c r="B87" i="6"/>
  <c r="K87" i="6" s="1"/>
  <c r="B88" i="6"/>
  <c r="K88" i="6" s="1"/>
  <c r="B160" i="6"/>
  <c r="K160" i="6" s="1"/>
  <c r="B89" i="6"/>
  <c r="K89" i="6" s="1"/>
  <c r="B90" i="6"/>
  <c r="K90" i="6" s="1"/>
  <c r="B161" i="6"/>
  <c r="K161" i="6" s="1"/>
  <c r="B91" i="6"/>
  <c r="K91" i="6" s="1"/>
  <c r="B92" i="6"/>
  <c r="K92" i="6" s="1"/>
  <c r="B162" i="6"/>
  <c r="K162" i="6" s="1"/>
  <c r="B163" i="6"/>
  <c r="K163" i="6" s="1"/>
  <c r="B164" i="6"/>
  <c r="K164" i="6" s="1"/>
  <c r="B165" i="6"/>
  <c r="K165" i="6" s="1"/>
  <c r="B166" i="6"/>
  <c r="K166" i="6" s="1"/>
  <c r="B167" i="6"/>
  <c r="K167" i="6" s="1"/>
  <c r="B168" i="6"/>
  <c r="K168" i="6" s="1"/>
  <c r="B93" i="6"/>
  <c r="K93" i="6" s="1"/>
  <c r="B94" i="6"/>
  <c r="K94" i="6" s="1"/>
  <c r="B95" i="6"/>
  <c r="K95" i="6" s="1"/>
  <c r="B169" i="6"/>
  <c r="K169" i="6" s="1"/>
  <c r="B170" i="6"/>
  <c r="K170" i="6" s="1"/>
  <c r="B171" i="6"/>
  <c r="K171" i="6" s="1"/>
  <c r="B96" i="6"/>
  <c r="K96" i="6" s="1"/>
  <c r="B172" i="6"/>
  <c r="K172" i="6" s="1"/>
  <c r="B173" i="6"/>
  <c r="K173" i="6" s="1"/>
  <c r="B174" i="6"/>
  <c r="K174" i="6" s="1"/>
  <c r="B175" i="6"/>
  <c r="K175" i="6" s="1"/>
  <c r="B176" i="6"/>
  <c r="K176" i="6" s="1"/>
  <c r="B177" i="6"/>
  <c r="K177" i="6" s="1"/>
  <c r="B97" i="6"/>
  <c r="K97" i="6" s="1"/>
  <c r="B178" i="6"/>
  <c r="K178" i="6" s="1"/>
  <c r="B129" i="6"/>
  <c r="K129" i="6" s="1"/>
  <c r="B179" i="6"/>
  <c r="K179" i="6" s="1"/>
  <c r="B98" i="6"/>
  <c r="K98" i="6" s="1"/>
  <c r="B204" i="6"/>
  <c r="K204" i="6" s="1"/>
  <c r="B205" i="6"/>
  <c r="K205" i="6" s="1"/>
  <c r="B180" i="6"/>
  <c r="K180" i="6" s="1"/>
  <c r="B99" i="6"/>
  <c r="K99" i="6" s="1"/>
  <c r="B181" i="6"/>
  <c r="K181" i="6" s="1"/>
  <c r="B182" i="6"/>
  <c r="K182" i="6" s="1"/>
  <c r="B183" i="6"/>
  <c r="K183" i="6" s="1"/>
  <c r="B184" i="6"/>
  <c r="K184" i="6" s="1"/>
  <c r="B185" i="6"/>
  <c r="K185" i="6" s="1"/>
  <c r="B100" i="6"/>
  <c r="K100" i="6" s="1"/>
  <c r="B101" i="6"/>
  <c r="K101" i="6" s="1"/>
  <c r="B102" i="6"/>
  <c r="K102" i="6" s="1"/>
  <c r="B103" i="6"/>
  <c r="K103" i="6" s="1"/>
  <c r="B104" i="6"/>
  <c r="K104" i="6" s="1"/>
  <c r="B105" i="6"/>
  <c r="K105" i="6" s="1"/>
  <c r="B106" i="6"/>
  <c r="K106" i="6" s="1"/>
  <c r="B107" i="6"/>
  <c r="K107" i="6" s="1"/>
  <c r="B108" i="6"/>
  <c r="K108" i="6" s="1"/>
  <c r="B109" i="6"/>
  <c r="K109" i="6" s="1"/>
  <c r="B110" i="6"/>
  <c r="K110" i="6" s="1"/>
  <c r="B186" i="6"/>
  <c r="K186" i="6" s="1"/>
  <c r="B111" i="6"/>
  <c r="K111" i="6" s="1"/>
  <c r="B112" i="6"/>
  <c r="K112" i="6" s="1"/>
  <c r="B113" i="6"/>
  <c r="K113" i="6" s="1"/>
  <c r="B114" i="6"/>
  <c r="K114" i="6" s="1"/>
  <c r="B115" i="6"/>
  <c r="K115" i="6" s="1"/>
  <c r="B187" i="6"/>
  <c r="K187" i="6" s="1"/>
  <c r="B188" i="6"/>
  <c r="K188" i="6" s="1"/>
  <c r="B189" i="6"/>
  <c r="K189" i="6" s="1"/>
  <c r="B116" i="6"/>
  <c r="K116" i="6" s="1"/>
  <c r="B190" i="6"/>
  <c r="K190" i="6" s="1"/>
  <c r="B191" i="6"/>
  <c r="K191" i="6" s="1"/>
  <c r="B192" i="6"/>
  <c r="K192" i="6" s="1"/>
  <c r="B193" i="6"/>
  <c r="K193" i="6" s="1"/>
  <c r="B117" i="6"/>
  <c r="K117" i="6" s="1"/>
  <c r="B118" i="6"/>
  <c r="K118" i="6" s="1"/>
  <c r="B119" i="6"/>
  <c r="K119" i="6" s="1"/>
  <c r="B120" i="6"/>
  <c r="K120" i="6" s="1"/>
  <c r="B121" i="6"/>
  <c r="K121" i="6" s="1"/>
  <c r="B194" i="6"/>
  <c r="K194" i="6" s="1"/>
  <c r="B195" i="6"/>
  <c r="K195" i="6" s="1"/>
  <c r="B196" i="6"/>
  <c r="K196" i="6" s="1"/>
  <c r="B197" i="6"/>
  <c r="K197" i="6" s="1"/>
  <c r="B198" i="6"/>
  <c r="K198" i="6" s="1"/>
  <c r="B122" i="6"/>
  <c r="K122" i="6" s="1"/>
  <c r="B123" i="6"/>
  <c r="K123" i="6" s="1"/>
  <c r="C205" i="6"/>
  <c r="C123" i="6"/>
  <c r="D123" i="6"/>
  <c r="C122" i="6"/>
  <c r="D122" i="6"/>
  <c r="C195" i="6"/>
  <c r="C196" i="6"/>
  <c r="C197" i="6"/>
  <c r="C198" i="6"/>
  <c r="D195" i="6"/>
  <c r="D196" i="6"/>
  <c r="D197" i="6"/>
  <c r="D198" i="6"/>
  <c r="C194" i="6"/>
  <c r="D194" i="6"/>
  <c r="C118" i="6"/>
  <c r="C119" i="6"/>
  <c r="C120" i="6"/>
  <c r="C121" i="6"/>
  <c r="D118" i="6"/>
  <c r="D119" i="6"/>
  <c r="D120" i="6"/>
  <c r="D121" i="6"/>
  <c r="C117" i="6"/>
  <c r="D117" i="6"/>
  <c r="C193" i="6"/>
  <c r="D193" i="6"/>
  <c r="C192" i="6"/>
  <c r="D192" i="6"/>
  <c r="C116" i="6"/>
  <c r="C190" i="6"/>
  <c r="C191" i="6"/>
  <c r="D116" i="6"/>
  <c r="D190" i="6"/>
  <c r="D191" i="6"/>
  <c r="C189" i="6"/>
  <c r="D189" i="6"/>
  <c r="C188" i="6"/>
  <c r="D188" i="6"/>
  <c r="C187" i="6"/>
  <c r="D187" i="6"/>
  <c r="C115" i="6"/>
  <c r="D115" i="6"/>
  <c r="C112" i="6"/>
  <c r="C113" i="6"/>
  <c r="C114" i="6"/>
  <c r="D112" i="6"/>
  <c r="D113" i="6"/>
  <c r="D114" i="6"/>
  <c r="C111" i="6"/>
  <c r="D111" i="6"/>
  <c r="C186" i="6"/>
  <c r="D186" i="6"/>
  <c r="C106" i="6"/>
  <c r="C107" i="6"/>
  <c r="C108" i="6"/>
  <c r="C109" i="6"/>
  <c r="C110" i="6"/>
  <c r="D106" i="6"/>
  <c r="D107" i="6"/>
  <c r="D108" i="6"/>
  <c r="D109" i="6"/>
  <c r="D110" i="6"/>
  <c r="C105" i="6"/>
  <c r="D105" i="6"/>
  <c r="C104" i="6"/>
  <c r="D104" i="6"/>
  <c r="C103" i="6"/>
  <c r="C51" i="6"/>
  <c r="D103" i="6"/>
  <c r="D51" i="6"/>
  <c r="C102" i="6"/>
  <c r="D102" i="6"/>
  <c r="C100" i="6"/>
  <c r="C101" i="6"/>
  <c r="D100" i="6"/>
  <c r="D101" i="6"/>
  <c r="C182" i="6"/>
  <c r="C183" i="6"/>
  <c r="C184" i="6"/>
  <c r="C185" i="6"/>
  <c r="D182" i="6"/>
  <c r="D183" i="6"/>
  <c r="D184" i="6"/>
  <c r="D185" i="6"/>
  <c r="C181" i="6"/>
  <c r="D181" i="6"/>
  <c r="C99" i="6"/>
  <c r="D99" i="6"/>
  <c r="C180" i="6"/>
  <c r="D180" i="6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B87" i="10"/>
  <c r="B90" i="10"/>
  <c r="B88" i="10"/>
  <c r="B82" i="10"/>
  <c r="B84" i="10"/>
  <c r="B85" i="10"/>
  <c r="B86" i="10"/>
  <c r="B89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83" i="10"/>
  <c r="C97" i="6"/>
  <c r="D97" i="6"/>
  <c r="C179" i="6"/>
  <c r="D179" i="6"/>
  <c r="C177" i="6"/>
  <c r="D177" i="6"/>
  <c r="C129" i="6"/>
  <c r="D129" i="6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D4" i="6"/>
  <c r="D2" i="6"/>
  <c r="D12" i="6"/>
  <c r="D6" i="6"/>
  <c r="D16" i="6"/>
  <c r="D3" i="6"/>
  <c r="D11" i="6"/>
  <c r="D10" i="6"/>
  <c r="D7" i="6"/>
  <c r="D17" i="6"/>
  <c r="D13" i="6"/>
  <c r="D29" i="6"/>
  <c r="D8" i="6"/>
  <c r="D130" i="6"/>
  <c r="D5" i="6"/>
  <c r="D19" i="6"/>
  <c r="D18" i="6"/>
  <c r="D35" i="6"/>
  <c r="D15" i="6"/>
  <c r="D26" i="6"/>
  <c r="D21" i="6"/>
  <c r="D36" i="6"/>
  <c r="D23" i="6"/>
  <c r="D132" i="6"/>
  <c r="D24" i="6"/>
  <c r="D33" i="6"/>
  <c r="D34" i="6"/>
  <c r="D9" i="6"/>
  <c r="D52" i="6"/>
  <c r="D126" i="6"/>
  <c r="D37" i="6"/>
  <c r="D20" i="6"/>
  <c r="D38" i="6"/>
  <c r="D25" i="6"/>
  <c r="D41" i="6"/>
  <c r="D39" i="6"/>
  <c r="D40" i="6"/>
  <c r="D131" i="6"/>
  <c r="D30" i="6"/>
  <c r="D14" i="6"/>
  <c r="D127" i="6"/>
  <c r="D54" i="6"/>
  <c r="D140" i="6"/>
  <c r="D59" i="6"/>
  <c r="D32" i="6"/>
  <c r="D143" i="6"/>
  <c r="D56" i="6"/>
  <c r="D144" i="6"/>
  <c r="D133" i="6"/>
  <c r="D145" i="6"/>
  <c r="D60" i="6"/>
  <c r="D61" i="6"/>
  <c r="D146" i="6"/>
  <c r="D62" i="6"/>
  <c r="D63" i="6"/>
  <c r="D42" i="6"/>
  <c r="D64" i="6"/>
  <c r="D65" i="6"/>
  <c r="D43" i="6"/>
  <c r="D66" i="6"/>
  <c r="D67" i="6"/>
  <c r="D44" i="6"/>
  <c r="D147" i="6"/>
  <c r="D148" i="6"/>
  <c r="D68" i="6"/>
  <c r="D142" i="6"/>
  <c r="D149" i="6"/>
  <c r="D57" i="6"/>
  <c r="D58" i="6"/>
  <c r="D151" i="6"/>
  <c r="D152" i="6"/>
  <c r="D153" i="6"/>
  <c r="D154" i="6"/>
  <c r="D45" i="6"/>
  <c r="D70" i="6"/>
  <c r="D71" i="6"/>
  <c r="D72" i="6"/>
  <c r="D28" i="6"/>
  <c r="D73" i="6"/>
  <c r="D55" i="6"/>
  <c r="D75" i="6"/>
  <c r="D135" i="6"/>
  <c r="D69" i="6"/>
  <c r="D155" i="6"/>
  <c r="D150" i="6"/>
  <c r="D156" i="6"/>
  <c r="D157" i="6"/>
  <c r="D136" i="6"/>
  <c r="D31" i="6"/>
  <c r="D74" i="6"/>
  <c r="D46" i="6"/>
  <c r="D76" i="6"/>
  <c r="D27" i="6"/>
  <c r="D137" i="6"/>
  <c r="D53" i="6"/>
  <c r="D77" i="6"/>
  <c r="D78" i="6"/>
  <c r="D79" i="6"/>
  <c r="D80" i="6"/>
  <c r="D81" i="6"/>
  <c r="D82" i="6"/>
  <c r="D83" i="6"/>
  <c r="D84" i="6"/>
  <c r="D85" i="6"/>
  <c r="D159" i="6"/>
  <c r="D86" i="6"/>
  <c r="D87" i="6"/>
  <c r="D88" i="6"/>
  <c r="D160" i="6"/>
  <c r="D47" i="6"/>
  <c r="D89" i="6"/>
  <c r="D90" i="6"/>
  <c r="D138" i="6"/>
  <c r="D158" i="6"/>
  <c r="D161" i="6"/>
  <c r="D91" i="6"/>
  <c r="D92" i="6"/>
  <c r="D162" i="6"/>
  <c r="D163" i="6"/>
  <c r="D164" i="6"/>
  <c r="D48" i="6"/>
  <c r="D49" i="6"/>
  <c r="D134" i="6"/>
  <c r="D139" i="6"/>
  <c r="D165" i="6"/>
  <c r="D166" i="6"/>
  <c r="D167" i="6"/>
  <c r="D168" i="6"/>
  <c r="D22" i="6"/>
  <c r="D93" i="6"/>
  <c r="D94" i="6"/>
  <c r="D95" i="6"/>
  <c r="D204" i="6"/>
  <c r="D205" i="6"/>
  <c r="D169" i="6"/>
  <c r="D170" i="6"/>
  <c r="D171" i="6"/>
  <c r="D178" i="6"/>
  <c r="D96" i="6"/>
  <c r="D141" i="6"/>
  <c r="D172" i="6"/>
  <c r="D173" i="6"/>
  <c r="D174" i="6"/>
  <c r="D98" i="6"/>
  <c r="D50" i="6"/>
  <c r="D128" i="6"/>
  <c r="D175" i="6"/>
  <c r="D176" i="6"/>
  <c r="C4" i="6"/>
  <c r="C2" i="6"/>
  <c r="C12" i="6"/>
  <c r="C6" i="6"/>
  <c r="C16" i="6"/>
  <c r="C3" i="6"/>
  <c r="C11" i="6"/>
  <c r="C10" i="6"/>
  <c r="C7" i="6"/>
  <c r="C17" i="6"/>
  <c r="C13" i="6"/>
  <c r="C29" i="6"/>
  <c r="C8" i="6"/>
  <c r="C130" i="6"/>
  <c r="C5" i="6"/>
  <c r="C19" i="6"/>
  <c r="C18" i="6"/>
  <c r="C35" i="6"/>
  <c r="C15" i="6"/>
  <c r="C26" i="6"/>
  <c r="C21" i="6"/>
  <c r="C36" i="6"/>
  <c r="C23" i="6"/>
  <c r="C132" i="6"/>
  <c r="C24" i="6"/>
  <c r="C33" i="6"/>
  <c r="C34" i="6"/>
  <c r="C9" i="6"/>
  <c r="C52" i="6"/>
  <c r="C126" i="6"/>
  <c r="C37" i="6"/>
  <c r="C20" i="6"/>
  <c r="C38" i="6"/>
  <c r="C25" i="6"/>
  <c r="C41" i="6"/>
  <c r="C39" i="6"/>
  <c r="C40" i="6"/>
  <c r="C131" i="6"/>
  <c r="C30" i="6"/>
  <c r="C14" i="6"/>
  <c r="C127" i="6"/>
  <c r="C54" i="6"/>
  <c r="C140" i="6"/>
  <c r="C59" i="6"/>
  <c r="C32" i="6"/>
  <c r="C143" i="6"/>
  <c r="C56" i="6"/>
  <c r="C144" i="6"/>
  <c r="C133" i="6"/>
  <c r="C145" i="6"/>
  <c r="C60" i="6"/>
  <c r="C61" i="6"/>
  <c r="C146" i="6"/>
  <c r="C62" i="6"/>
  <c r="C63" i="6"/>
  <c r="C42" i="6"/>
  <c r="C64" i="6"/>
  <c r="C65" i="6"/>
  <c r="C43" i="6"/>
  <c r="C66" i="6"/>
  <c r="C67" i="6"/>
  <c r="C44" i="6"/>
  <c r="C147" i="6"/>
  <c r="C148" i="6"/>
  <c r="C68" i="6"/>
  <c r="C142" i="6"/>
  <c r="C149" i="6"/>
  <c r="C57" i="6"/>
  <c r="C58" i="6"/>
  <c r="C151" i="6"/>
  <c r="C152" i="6"/>
  <c r="C153" i="6"/>
  <c r="C154" i="6"/>
  <c r="C45" i="6"/>
  <c r="C70" i="6"/>
  <c r="C71" i="6"/>
  <c r="C72" i="6"/>
  <c r="C28" i="6"/>
  <c r="C73" i="6"/>
  <c r="C55" i="6"/>
  <c r="C75" i="6"/>
  <c r="C135" i="6"/>
  <c r="C69" i="6"/>
  <c r="C155" i="6"/>
  <c r="C150" i="6"/>
  <c r="C156" i="6"/>
  <c r="C157" i="6"/>
  <c r="C136" i="6"/>
  <c r="C31" i="6"/>
  <c r="C74" i="6"/>
  <c r="C46" i="6"/>
  <c r="C76" i="6"/>
  <c r="C27" i="6"/>
  <c r="C137" i="6"/>
  <c r="C53" i="6"/>
  <c r="C77" i="6"/>
  <c r="C78" i="6"/>
  <c r="C79" i="6"/>
  <c r="C80" i="6"/>
  <c r="C81" i="6"/>
  <c r="C82" i="6"/>
  <c r="C83" i="6"/>
  <c r="C84" i="6"/>
  <c r="C85" i="6"/>
  <c r="C159" i="6"/>
  <c r="C86" i="6"/>
  <c r="C87" i="6"/>
  <c r="C88" i="6"/>
  <c r="C160" i="6"/>
  <c r="C47" i="6"/>
  <c r="C89" i="6"/>
  <c r="C90" i="6"/>
  <c r="C138" i="6"/>
  <c r="C158" i="6"/>
  <c r="C161" i="6"/>
  <c r="C91" i="6"/>
  <c r="C92" i="6"/>
  <c r="C162" i="6"/>
  <c r="C163" i="6"/>
  <c r="C164" i="6"/>
  <c r="C48" i="6"/>
  <c r="C49" i="6"/>
  <c r="C134" i="6"/>
  <c r="C139" i="6"/>
  <c r="C165" i="6"/>
  <c r="C166" i="6"/>
  <c r="C167" i="6"/>
  <c r="C168" i="6"/>
  <c r="C22" i="6"/>
  <c r="C93" i="6"/>
  <c r="C94" i="6"/>
  <c r="C95" i="6"/>
  <c r="C204" i="6"/>
  <c r="C169" i="6"/>
  <c r="C170" i="6"/>
  <c r="C171" i="6"/>
  <c r="C178" i="6"/>
  <c r="C96" i="6"/>
  <c r="C141" i="6"/>
  <c r="C172" i="6"/>
  <c r="C173" i="6"/>
  <c r="C174" i="6"/>
  <c r="C98" i="6"/>
  <c r="C50" i="6"/>
  <c r="C128" i="6"/>
  <c r="C175" i="6"/>
  <c r="C176" i="6"/>
  <c r="F236" i="2"/>
  <c r="F235" i="2"/>
  <c r="F234" i="2"/>
  <c r="F233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C26" i="11" l="1" a="1"/>
  <c r="C26" i="11" s="1"/>
  <c r="C14" i="11" a="1"/>
  <c r="C14" i="11" s="1"/>
  <c r="C24" i="11" a="1"/>
  <c r="C24" i="11" s="1"/>
  <c r="C22" i="11" a="1"/>
  <c r="C22" i="11" s="1"/>
  <c r="C23" i="11" a="1"/>
  <c r="C23" i="11" s="1"/>
  <c r="C21" i="11" a="1"/>
  <c r="C21" i="11" s="1"/>
  <c r="C20" i="11" a="1"/>
  <c r="C20" i="11" s="1"/>
  <c r="C30" i="11" a="1"/>
  <c r="C30" i="11" s="1"/>
  <c r="C17" i="11" a="1"/>
  <c r="C17" i="11" s="1"/>
  <c r="C29" i="11" a="1"/>
  <c r="C29" i="11" s="1"/>
  <c r="C19" i="11" a="1"/>
  <c r="C19" i="11" s="1"/>
  <c r="C28" i="11" a="1"/>
  <c r="C28" i="11" s="1"/>
  <c r="C16" i="11" a="1"/>
  <c r="C16" i="11" s="1"/>
  <c r="C31" i="11" a="1"/>
  <c r="C31" i="11" s="1"/>
  <c r="C18" i="11" a="1"/>
  <c r="C18" i="11" s="1"/>
  <c r="C27" i="11" a="1"/>
  <c r="C27" i="11" s="1"/>
  <c r="C15" i="11" a="1"/>
  <c r="C15" i="11" s="1"/>
  <c r="C25" i="11" a="1"/>
  <c r="C25" i="11" s="1"/>
  <c r="C3" i="9" a="1"/>
  <c r="C3" i="9" s="1"/>
  <c r="C17" i="9" a="1"/>
  <c r="C17" i="9" s="1"/>
  <c r="C16" i="9" a="1"/>
  <c r="C16" i="9" s="1"/>
  <c r="C10" i="9" a="1"/>
  <c r="C10" i="9" s="1"/>
  <c r="C15" i="9" a="1"/>
  <c r="C15" i="9" s="1"/>
  <c r="C8" i="9" a="1"/>
  <c r="C8" i="9" s="1"/>
  <c r="C14" i="9" a="1"/>
  <c r="C14" i="9" s="1"/>
  <c r="C4" i="9" a="1"/>
  <c r="C4" i="9" s="1"/>
  <c r="C13" i="9" a="1"/>
  <c r="C13" i="9" s="1"/>
  <c r="C7" i="9" a="1"/>
  <c r="C7" i="9" s="1"/>
  <c r="C20" i="9" a="1"/>
  <c r="C20" i="9" s="1"/>
  <c r="C12" i="9" a="1"/>
  <c r="C12" i="9" s="1"/>
  <c r="C6" i="9" a="1"/>
  <c r="C6" i="9" s="1"/>
  <c r="C19" i="9" a="1"/>
  <c r="C19" i="9" s="1"/>
  <c r="C11" i="9" a="1"/>
  <c r="C11" i="9" s="1"/>
  <c r="C5" i="9" a="1"/>
  <c r="C5" i="9" s="1"/>
  <c r="C18" i="9" a="1"/>
  <c r="C18" i="9" s="1"/>
  <c r="C9" i="9" a="1"/>
  <c r="C9" i="9" s="1"/>
  <c r="K2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<sst xmlns="http://schemas.openxmlformats.org/spreadsheetml/2006/main" count="3081" uniqueCount="862">
  <si>
    <t>投稿文</t>
    <rPh sb="0" eb="3">
      <t>トウコウブン</t>
    </rPh>
    <phoneticPr fontId="2"/>
  </si>
  <si>
    <t>投稿画像</t>
    <rPh sb="0" eb="4">
      <t>トウコウガゾウ</t>
    </rPh>
    <phoneticPr fontId="2"/>
  </si>
  <si>
    <t>ブラウンのワンピを着たドロの自撮り</t>
    <rPh sb="9" eb="10">
      <t>キ</t>
    </rPh>
    <rPh sb="14" eb="16">
      <t>ジド</t>
    </rPh>
    <phoneticPr fontId="2"/>
  </si>
  <si>
    <t>どんなポケモン使ってきそうか求む</t>
    <rPh sb="7" eb="8">
      <t>ツカ</t>
    </rPh>
    <rPh sb="14" eb="15">
      <t>モト</t>
    </rPh>
    <phoneticPr fontId="2"/>
  </si>
  <si>
    <t>不死鳥の焼く藻</t>
    <rPh sb="0" eb="3">
      <t>フシチョウ</t>
    </rPh>
    <rPh sb="4" eb="5">
      <t>ヤ</t>
    </rPh>
    <rPh sb="6" eb="7">
      <t>モ</t>
    </rPh>
    <phoneticPr fontId="2"/>
  </si>
  <si>
    <t>ゲンガー</t>
  </si>
  <si>
    <t>ゲンガー</t>
    <phoneticPr fontId="2"/>
  </si>
  <si>
    <t>内容</t>
    <rPh sb="0" eb="2">
      <t>ナイヨウ</t>
    </rPh>
    <phoneticPr fontId="2"/>
  </si>
  <si>
    <t>えー。</t>
    <phoneticPr fontId="2"/>
  </si>
  <si>
    <t>トゲピー</t>
  </si>
  <si>
    <t>トゲピー</t>
    <phoneticPr fontId="2"/>
  </si>
  <si>
    <t>ママンボウ</t>
  </si>
  <si>
    <t>ママンボウ</t>
    <phoneticPr fontId="2"/>
  </si>
  <si>
    <t>メノクラゲ</t>
  </si>
  <si>
    <t>メノクラゲ</t>
    <phoneticPr fontId="2"/>
  </si>
  <si>
    <t>ミミッキュ</t>
  </si>
  <si>
    <t>ミミッキュ</t>
    <phoneticPr fontId="2"/>
  </si>
  <si>
    <t>発言者</t>
    <rPh sb="0" eb="3">
      <t>ハツゲンシャ</t>
    </rPh>
    <phoneticPr fontId="2"/>
  </si>
  <si>
    <t>ランクルス</t>
  </si>
  <si>
    <t>ランクルス</t>
    <phoneticPr fontId="2"/>
  </si>
  <si>
    <t>シャンデラ</t>
  </si>
  <si>
    <t>シャンデラ</t>
    <phoneticPr fontId="2"/>
  </si>
  <si>
    <t>ルカリオ</t>
  </si>
  <si>
    <t>ルカリオ</t>
    <phoneticPr fontId="2"/>
  </si>
  <si>
    <t>ボーマンダ</t>
  </si>
  <si>
    <t>ボーマンダ</t>
    <phoneticPr fontId="2"/>
  </si>
  <si>
    <t>ゲッコウガ</t>
  </si>
  <si>
    <t>ゲッコウガ</t>
    <phoneticPr fontId="2"/>
  </si>
  <si>
    <t>リザードン</t>
  </si>
  <si>
    <t>リザードン</t>
    <phoneticPr fontId="2"/>
  </si>
  <si>
    <t>シゲ</t>
    <phoneticPr fontId="2"/>
  </si>
  <si>
    <t>ひいらぎ</t>
    <phoneticPr fontId="2"/>
  </si>
  <si>
    <t>caos</t>
    <phoneticPr fontId="2"/>
  </si>
  <si>
    <t>グラードン</t>
  </si>
  <si>
    <t>グラードン</t>
    <phoneticPr fontId="2"/>
  </si>
  <si>
    <t>スターミー</t>
  </si>
  <si>
    <t>スターミー</t>
    <phoneticPr fontId="2"/>
  </si>
  <si>
    <t>ミッキー</t>
    <phoneticPr fontId="2"/>
  </si>
  <si>
    <t>ラッキー</t>
  </si>
  <si>
    <t>ラッキー</t>
    <phoneticPr fontId="2"/>
  </si>
  <si>
    <t>ポリゴン</t>
  </si>
  <si>
    <t>ポリゴン</t>
    <phoneticPr fontId="2"/>
  </si>
  <si>
    <t>ゆけお</t>
    <phoneticPr fontId="2"/>
  </si>
  <si>
    <t>nobu</t>
    <phoneticPr fontId="2"/>
  </si>
  <si>
    <t>バンギラス</t>
  </si>
  <si>
    <t>バンギラス</t>
    <phoneticPr fontId="2"/>
  </si>
  <si>
    <t>コダック</t>
  </si>
  <si>
    <t>コダック</t>
    <phoneticPr fontId="2"/>
  </si>
  <si>
    <t>ゆーしん</t>
    <phoneticPr fontId="2"/>
  </si>
  <si>
    <t>りゅう</t>
    <phoneticPr fontId="2"/>
  </si>
  <si>
    <t>ゴローニャ</t>
  </si>
  <si>
    <t>ゴローニャ</t>
    <phoneticPr fontId="2"/>
  </si>
  <si>
    <t>水色</t>
    <rPh sb="0" eb="2">
      <t>ミズイロ</t>
    </rPh>
    <phoneticPr fontId="2"/>
  </si>
  <si>
    <t>マイナン</t>
  </si>
  <si>
    <t>マイナン</t>
    <phoneticPr fontId="2"/>
  </si>
  <si>
    <t>プラスル</t>
  </si>
  <si>
    <t>プラスル</t>
    <phoneticPr fontId="2"/>
  </si>
  <si>
    <t>わかめくん</t>
    <phoneticPr fontId="2"/>
  </si>
  <si>
    <t>プクリン</t>
  </si>
  <si>
    <t>プクリン</t>
    <phoneticPr fontId="2"/>
  </si>
  <si>
    <t>プクリンみたいな顔してる</t>
    <rPh sb="8" eb="9">
      <t>カオ</t>
    </rPh>
    <phoneticPr fontId="2"/>
  </si>
  <si>
    <t>別の言及</t>
    <rPh sb="0" eb="1">
      <t>ベツ</t>
    </rPh>
    <rPh sb="2" eb="4">
      <t>ゲンキュウ</t>
    </rPh>
    <phoneticPr fontId="2"/>
  </si>
  <si>
    <t>らぺ</t>
    <phoneticPr fontId="2"/>
  </si>
  <si>
    <t>キチキギス</t>
  </si>
  <si>
    <t>キチキギス</t>
    <phoneticPr fontId="2"/>
  </si>
  <si>
    <t>中性くん</t>
    <rPh sb="0" eb="2">
      <t>チュウセイ</t>
    </rPh>
    <phoneticPr fontId="2"/>
  </si>
  <si>
    <t>オクタン</t>
  </si>
  <si>
    <t>オクタン</t>
    <phoneticPr fontId="2"/>
  </si>
  <si>
    <t>オトスパス</t>
  </si>
  <si>
    <t>オトスパス</t>
    <phoneticPr fontId="2"/>
  </si>
  <si>
    <t>ドククラゲ</t>
  </si>
  <si>
    <t>ドククラゲ</t>
    <phoneticPr fontId="2"/>
  </si>
  <si>
    <t>この3匹から選ぶのじゃ&lt;3</t>
    <rPh sb="3" eb="4">
      <t>ヒキ</t>
    </rPh>
    <rPh sb="6" eb="7">
      <t>エラ</t>
    </rPh>
    <phoneticPr fontId="2"/>
  </si>
  <si>
    <t>奏岬</t>
    <rPh sb="0" eb="1">
      <t>ソウ</t>
    </rPh>
    <rPh sb="1" eb="2">
      <t>ミサキ</t>
    </rPh>
    <phoneticPr fontId="2"/>
  </si>
  <si>
    <t>エンペルト</t>
  </si>
  <si>
    <t>エンペルト</t>
    <phoneticPr fontId="2"/>
  </si>
  <si>
    <t>ブラッキー</t>
  </si>
  <si>
    <t>ブラッキー</t>
    <phoneticPr fontId="2"/>
  </si>
  <si>
    <t>ジバコイル</t>
  </si>
  <si>
    <t>ジバコイル</t>
    <phoneticPr fontId="2"/>
  </si>
  <si>
    <t>カイリュー</t>
  </si>
  <si>
    <t>カイリュー</t>
    <phoneticPr fontId="2"/>
  </si>
  <si>
    <t>エーフィ</t>
  </si>
  <si>
    <t>エーフィ</t>
    <phoneticPr fontId="2"/>
  </si>
  <si>
    <t>ルージュラ</t>
  </si>
  <si>
    <t>ルージュラ</t>
    <phoneticPr fontId="2"/>
  </si>
  <si>
    <t>くずま</t>
    <phoneticPr fontId="2"/>
  </si>
  <si>
    <t>みお</t>
    <phoneticPr fontId="2"/>
  </si>
  <si>
    <t>ニョロトノ</t>
  </si>
  <si>
    <t>ニョロトノ</t>
    <phoneticPr fontId="2"/>
  </si>
  <si>
    <t>ドオー</t>
  </si>
  <si>
    <t>ドオー</t>
    <phoneticPr fontId="2"/>
  </si>
  <si>
    <t>ポリゴン2</t>
  </si>
  <si>
    <t>ポリゴン2</t>
    <phoneticPr fontId="2"/>
  </si>
  <si>
    <t>うさぎ</t>
    <phoneticPr fontId="2"/>
  </si>
  <si>
    <t>ポッポ</t>
  </si>
  <si>
    <t>ポッポ</t>
    <phoneticPr fontId="2"/>
  </si>
  <si>
    <t>まこっち</t>
    <phoneticPr fontId="2"/>
  </si>
  <si>
    <t>ゆでん</t>
    <phoneticPr fontId="2"/>
  </si>
  <si>
    <t>ウツドン</t>
  </si>
  <si>
    <t>ウツドン</t>
    <phoneticPr fontId="2"/>
  </si>
  <si>
    <t>ピカチュウ♀</t>
    <phoneticPr fontId="2"/>
  </si>
  <si>
    <t>マダツボミ</t>
  </si>
  <si>
    <t>マダツボミ</t>
    <phoneticPr fontId="2"/>
  </si>
  <si>
    <t>ピカチュウ</t>
  </si>
  <si>
    <t>ピカチュウ</t>
    <phoneticPr fontId="2"/>
  </si>
  <si>
    <t>バタフリー</t>
  </si>
  <si>
    <t>バタフリー</t>
    <phoneticPr fontId="2"/>
  </si>
  <si>
    <t>生涯現役</t>
    <rPh sb="0" eb="4">
      <t>ショウガイゲンエキ</t>
    </rPh>
    <phoneticPr fontId="2"/>
  </si>
  <si>
    <t>にんじん</t>
    <phoneticPr fontId="2"/>
  </si>
  <si>
    <t>カポエラー</t>
  </si>
  <si>
    <t>カポエラー</t>
    <phoneticPr fontId="2"/>
  </si>
  <si>
    <t>厨パ</t>
    <rPh sb="0" eb="1">
      <t>チュウ</t>
    </rPh>
    <phoneticPr fontId="2"/>
  </si>
  <si>
    <t>ボカロ狂い</t>
    <rPh sb="3" eb="4">
      <t>クル</t>
    </rPh>
    <phoneticPr fontId="2"/>
  </si>
  <si>
    <t>みなつ</t>
    <phoneticPr fontId="2"/>
  </si>
  <si>
    <t>プリン</t>
  </si>
  <si>
    <t>プリン</t>
    <phoneticPr fontId="2"/>
  </si>
  <si>
    <t>ピッピ</t>
  </si>
  <si>
    <t>ピッピ</t>
    <phoneticPr fontId="2"/>
  </si>
  <si>
    <t>サニーゴ</t>
  </si>
  <si>
    <t>サニーゴ</t>
    <phoneticPr fontId="2"/>
  </si>
  <si>
    <t>ジラーチ</t>
  </si>
  <si>
    <t>ジラーチ</t>
    <phoneticPr fontId="2"/>
  </si>
  <si>
    <t>ガチャピン闇王くん</t>
    <rPh sb="5" eb="7">
      <t>ヤミオウ</t>
    </rPh>
    <phoneticPr fontId="2"/>
  </si>
  <si>
    <t>NAOKI</t>
    <phoneticPr fontId="2"/>
  </si>
  <si>
    <t>ゴンベ</t>
  </si>
  <si>
    <t>ゴンベ</t>
    <phoneticPr fontId="2"/>
  </si>
  <si>
    <t>セレビィ</t>
  </si>
  <si>
    <t>セレビィ</t>
    <phoneticPr fontId="2"/>
  </si>
  <si>
    <t>ベイマックス</t>
    <phoneticPr fontId="2"/>
  </si>
  <si>
    <t>ちゃんノ丸</t>
    <rPh sb="4" eb="5">
      <t>マル</t>
    </rPh>
    <phoneticPr fontId="2"/>
  </si>
  <si>
    <t>ピクシー</t>
  </si>
  <si>
    <t>ピクシー</t>
    <phoneticPr fontId="2"/>
  </si>
  <si>
    <t>ミミロップ</t>
  </si>
  <si>
    <t>ミミロップ</t>
    <phoneticPr fontId="2"/>
  </si>
  <si>
    <t>タブンネ</t>
  </si>
  <si>
    <t>タブンネ</t>
    <phoneticPr fontId="2"/>
  </si>
  <si>
    <t>ヒメグマ</t>
  </si>
  <si>
    <t>ヒメグマ</t>
    <phoneticPr fontId="2"/>
  </si>
  <si>
    <t>オオタチ</t>
  </si>
  <si>
    <t>オオタチ</t>
    <phoneticPr fontId="2"/>
  </si>
  <si>
    <t>ゆんち</t>
    <phoneticPr fontId="2"/>
  </si>
  <si>
    <t>ゆびをふる</t>
    <phoneticPr fontId="2"/>
  </si>
  <si>
    <t>うちゃぎ</t>
    <phoneticPr fontId="2"/>
  </si>
  <si>
    <t>ニラダレ</t>
    <phoneticPr fontId="2"/>
  </si>
  <si>
    <t>マホイップ</t>
  </si>
  <si>
    <t>マホイップ</t>
    <phoneticPr fontId="2"/>
  </si>
  <si>
    <t>お犬</t>
    <rPh sb="1" eb="2">
      <t>イヌ</t>
    </rPh>
    <phoneticPr fontId="2"/>
  </si>
  <si>
    <t>コイル</t>
  </si>
  <si>
    <t>コイル</t>
    <phoneticPr fontId="2"/>
  </si>
  <si>
    <t>フワライド</t>
  </si>
  <si>
    <t>フワライド</t>
    <phoneticPr fontId="2"/>
  </si>
  <si>
    <t>柚月将軍</t>
    <rPh sb="0" eb="2">
      <t>ユヅキ</t>
    </rPh>
    <rPh sb="1" eb="2">
      <t>ツキ</t>
    </rPh>
    <rPh sb="2" eb="4">
      <t>ショウグン</t>
    </rPh>
    <phoneticPr fontId="2"/>
  </si>
  <si>
    <t>シラスビーム</t>
    <phoneticPr fontId="2"/>
  </si>
  <si>
    <t>霊魂空白</t>
    <rPh sb="0" eb="2">
      <t>レイコン</t>
    </rPh>
    <rPh sb="2" eb="4">
      <t>クウハク</t>
    </rPh>
    <phoneticPr fontId="2"/>
  </si>
  <si>
    <t>ベトベトン</t>
  </si>
  <si>
    <t>ベトベトン</t>
    <phoneticPr fontId="2"/>
  </si>
  <si>
    <t>メンヘラっぽいから</t>
    <phoneticPr fontId="2"/>
  </si>
  <si>
    <t>ムウマ</t>
  </si>
  <si>
    <t>ムウマ</t>
    <phoneticPr fontId="2"/>
  </si>
  <si>
    <t>白雪</t>
    <rPh sb="0" eb="2">
      <t>シラユキ</t>
    </rPh>
    <phoneticPr fontId="2"/>
  </si>
  <si>
    <t>時の森</t>
    <rPh sb="0" eb="1">
      <t>トキ</t>
    </rPh>
    <rPh sb="2" eb="3">
      <t>モリ</t>
    </rPh>
    <phoneticPr fontId="2"/>
  </si>
  <si>
    <t>ハガネール</t>
  </si>
  <si>
    <t>ハガネール</t>
    <phoneticPr fontId="2"/>
  </si>
  <si>
    <t>デデンネ</t>
  </si>
  <si>
    <t>デデンネ</t>
    <phoneticPr fontId="2"/>
  </si>
  <si>
    <t>想定外</t>
    <rPh sb="0" eb="3">
      <t>ソウテイガイ</t>
    </rPh>
    <phoneticPr fontId="2"/>
  </si>
  <si>
    <t>sha.raku</t>
    <phoneticPr fontId="2"/>
  </si>
  <si>
    <t>シークレットk</t>
    <phoneticPr fontId="2"/>
  </si>
  <si>
    <t>神</t>
    <rPh sb="0" eb="1">
      <t>カミ</t>
    </rPh>
    <phoneticPr fontId="2"/>
  </si>
  <si>
    <t>キャタピー</t>
  </si>
  <si>
    <t>キャタピー</t>
    <phoneticPr fontId="2"/>
  </si>
  <si>
    <t>フリーザー</t>
  </si>
  <si>
    <t>フリーザー</t>
    <phoneticPr fontId="2"/>
  </si>
  <si>
    <t>トサキント</t>
  </si>
  <si>
    <t>トサキント</t>
    <phoneticPr fontId="2"/>
  </si>
  <si>
    <t>カビゴン</t>
  </si>
  <si>
    <t>カビゴン</t>
    <phoneticPr fontId="2"/>
  </si>
  <si>
    <t>サーナイト</t>
  </si>
  <si>
    <t>サーナイト</t>
    <phoneticPr fontId="2"/>
  </si>
  <si>
    <t>むめい</t>
    <phoneticPr fontId="2"/>
  </si>
  <si>
    <t>ちくちくりん</t>
    <phoneticPr fontId="2"/>
  </si>
  <si>
    <t>ミュウツー</t>
  </si>
  <si>
    <t>ミュウツー</t>
    <phoneticPr fontId="2"/>
  </si>
  <si>
    <t>shingo</t>
    <phoneticPr fontId="2"/>
  </si>
  <si>
    <t>ミミロル</t>
  </si>
  <si>
    <t>ミミロル</t>
    <phoneticPr fontId="2"/>
  </si>
  <si>
    <t>イーブイ</t>
  </si>
  <si>
    <t>イーブイ</t>
    <phoneticPr fontId="2"/>
  </si>
  <si>
    <t>可愛い系のノーマル</t>
    <rPh sb="0" eb="2">
      <t>カワイ</t>
    </rPh>
    <rPh sb="3" eb="4">
      <t>ケイ</t>
    </rPh>
    <phoneticPr fontId="2"/>
  </si>
  <si>
    <t>仮面サンチーム</t>
    <rPh sb="0" eb="2">
      <t>カメン</t>
    </rPh>
    <phoneticPr fontId="2"/>
  </si>
  <si>
    <t>オニゴーリ</t>
  </si>
  <si>
    <t>オニゴーリ</t>
    <phoneticPr fontId="2"/>
  </si>
  <si>
    <t>ギャラドス</t>
  </si>
  <si>
    <t>ギャラドス</t>
    <phoneticPr fontId="2"/>
  </si>
  <si>
    <t>コノヨザル</t>
  </si>
  <si>
    <t>コノヨザル</t>
    <phoneticPr fontId="2"/>
  </si>
  <si>
    <t>バクオング</t>
  </si>
  <si>
    <t>バクオング</t>
    <phoneticPr fontId="2"/>
  </si>
  <si>
    <t>グランブル</t>
  </si>
  <si>
    <t>グランブル</t>
    <phoneticPr fontId="2"/>
  </si>
  <si>
    <t>イーブイlv6</t>
    <phoneticPr fontId="2"/>
  </si>
  <si>
    <t>かい</t>
    <phoneticPr fontId="2"/>
  </si>
  <si>
    <t>ラマ</t>
    <phoneticPr fontId="2"/>
  </si>
  <si>
    <t>ニドラン♀</t>
  </si>
  <si>
    <t>ニドラン♀</t>
    <phoneticPr fontId="2"/>
  </si>
  <si>
    <t>ナゾノクサ</t>
  </si>
  <si>
    <t>ナゾノクサ</t>
    <phoneticPr fontId="2"/>
  </si>
  <si>
    <t>ろん</t>
    <phoneticPr fontId="2"/>
  </si>
  <si>
    <t>貝殻の絵文字</t>
    <rPh sb="0" eb="2">
      <t>カイガラ</t>
    </rPh>
    <rPh sb="3" eb="6">
      <t>エモジ</t>
    </rPh>
    <phoneticPr fontId="2"/>
  </si>
  <si>
    <t>パチリス</t>
  </si>
  <si>
    <t>パチリス</t>
    <phoneticPr fontId="2"/>
  </si>
  <si>
    <t>デンリュウ</t>
  </si>
  <si>
    <t>デンリュウ</t>
    <phoneticPr fontId="2"/>
  </si>
  <si>
    <t>コンさん＠</t>
    <phoneticPr fontId="2"/>
  </si>
  <si>
    <t>ひなた</t>
    <phoneticPr fontId="2"/>
  </si>
  <si>
    <t>くさタイプ使ってきそう</t>
    <rPh sb="5" eb="6">
      <t>ツカ</t>
    </rPh>
    <phoneticPr fontId="2"/>
  </si>
  <si>
    <t>前頭葉</t>
    <rPh sb="0" eb="3">
      <t>ゼントウヨウ</t>
    </rPh>
    <phoneticPr fontId="2"/>
  </si>
  <si>
    <t>ピジョット</t>
  </si>
  <si>
    <t>ピジョット</t>
    <phoneticPr fontId="2"/>
  </si>
  <si>
    <t>りょ</t>
    <phoneticPr fontId="2"/>
  </si>
  <si>
    <t>ムンナ</t>
  </si>
  <si>
    <t>ムンナ</t>
    <phoneticPr fontId="2"/>
  </si>
  <si>
    <t>アイスティー</t>
    <phoneticPr fontId="2"/>
  </si>
  <si>
    <t>匿名</t>
    <rPh sb="0" eb="2">
      <t>トクメイ</t>
    </rPh>
    <phoneticPr fontId="2"/>
  </si>
  <si>
    <t>パフュートン</t>
  </si>
  <si>
    <t>パフュートン</t>
    <phoneticPr fontId="2"/>
  </si>
  <si>
    <t>スボミー</t>
  </si>
  <si>
    <t>スボミー</t>
    <phoneticPr fontId="2"/>
  </si>
  <si>
    <t>ゆとん</t>
    <phoneticPr fontId="2"/>
  </si>
  <si>
    <t>デジタルタトゥーニキ</t>
    <phoneticPr fontId="2"/>
  </si>
  <si>
    <t>ガブリアス</t>
  </si>
  <si>
    <t>ガブリアス</t>
    <phoneticPr fontId="2"/>
  </si>
  <si>
    <t>オーロンゲ</t>
  </si>
  <si>
    <t>オーロンゲ</t>
    <phoneticPr fontId="2"/>
  </si>
  <si>
    <t>ゴリ</t>
    <phoneticPr fontId="2"/>
  </si>
  <si>
    <t>ばぶ</t>
    <phoneticPr fontId="2"/>
  </si>
  <si>
    <t>マタドガス</t>
  </si>
  <si>
    <t>マタドガス</t>
    <phoneticPr fontId="2"/>
  </si>
  <si>
    <t>ゴチルゼル</t>
  </si>
  <si>
    <t>ゴチルゼル</t>
    <phoneticPr fontId="2"/>
  </si>
  <si>
    <t>（他に言っている人が）一人もいなくてびっくり</t>
    <rPh sb="1" eb="2">
      <t>ホカ</t>
    </rPh>
    <rPh sb="3" eb="4">
      <t>イ</t>
    </rPh>
    <rPh sb="8" eb="9">
      <t>ヒト</t>
    </rPh>
    <rPh sb="11" eb="13">
      <t>ヒトリ</t>
    </rPh>
    <phoneticPr fontId="2"/>
  </si>
  <si>
    <t>ぺぺち</t>
    <phoneticPr fontId="2"/>
  </si>
  <si>
    <t>のん</t>
    <phoneticPr fontId="2"/>
  </si>
  <si>
    <t>shawn</t>
    <phoneticPr fontId="2"/>
  </si>
  <si>
    <t>ナカヌチャン</t>
  </si>
  <si>
    <t>ナカヌチャン</t>
    <phoneticPr fontId="2"/>
  </si>
  <si>
    <t>デカヌチャン</t>
  </si>
  <si>
    <t>デカヌチャン</t>
    <phoneticPr fontId="2"/>
  </si>
  <si>
    <t>つー</t>
    <phoneticPr fontId="2"/>
  </si>
  <si>
    <t>チュリネ</t>
  </si>
  <si>
    <t>チュリネ</t>
    <phoneticPr fontId="2"/>
  </si>
  <si>
    <t>lv3～lv13のチュリネ6匹</t>
    <rPh sb="14" eb="15">
      <t>ヒキ</t>
    </rPh>
    <phoneticPr fontId="2"/>
  </si>
  <si>
    <t>金属バット</t>
    <rPh sb="0" eb="2">
      <t>キンゾク</t>
    </rPh>
    <phoneticPr fontId="2"/>
  </si>
  <si>
    <t>ゴース</t>
  </si>
  <si>
    <t>ゴース</t>
    <phoneticPr fontId="2"/>
  </si>
  <si>
    <t>ゴースト</t>
  </si>
  <si>
    <t>ゴースト</t>
    <phoneticPr fontId="2"/>
  </si>
  <si>
    <t>月見たべたい</t>
    <rPh sb="0" eb="2">
      <t>ツキミ</t>
    </rPh>
    <phoneticPr fontId="2"/>
  </si>
  <si>
    <t>はがね</t>
    <phoneticPr fontId="2"/>
  </si>
  <si>
    <t>ふぁろく</t>
    <phoneticPr fontId="2"/>
  </si>
  <si>
    <t>エネコ</t>
  </si>
  <si>
    <t>エネコ</t>
    <phoneticPr fontId="2"/>
  </si>
  <si>
    <t>かたぎり</t>
    <phoneticPr fontId="2"/>
  </si>
  <si>
    <t>きゅうり</t>
    <phoneticPr fontId="2"/>
  </si>
  <si>
    <t>ロゼリア</t>
  </si>
  <si>
    <t>ロゼリア</t>
    <phoneticPr fontId="2"/>
  </si>
  <si>
    <t>チコリータ</t>
  </si>
  <si>
    <t>チコリータ</t>
    <phoneticPr fontId="2"/>
  </si>
  <si>
    <t>nousagi</t>
    <phoneticPr fontId="2"/>
  </si>
  <si>
    <t>ken</t>
    <phoneticPr fontId="2"/>
  </si>
  <si>
    <t>コラッタ</t>
  </si>
  <si>
    <t>コラッタ</t>
    <phoneticPr fontId="2"/>
  </si>
  <si>
    <t>ドテッコツ</t>
  </si>
  <si>
    <t>ドテッコツ</t>
    <phoneticPr fontId="2"/>
  </si>
  <si>
    <t>ガマゲロゲ</t>
  </si>
  <si>
    <t>ガマゲロゲ</t>
    <phoneticPr fontId="2"/>
  </si>
  <si>
    <t>ナゲキ</t>
  </si>
  <si>
    <t>ナゲキ</t>
    <phoneticPr fontId="2"/>
  </si>
  <si>
    <t>クリムガン</t>
  </si>
  <si>
    <t>クリムガン</t>
    <phoneticPr fontId="2"/>
  </si>
  <si>
    <t>バンバドロ</t>
  </si>
  <si>
    <t>バンバドロ</t>
    <phoneticPr fontId="2"/>
  </si>
  <si>
    <t>又三郎</t>
    <rPh sb="0" eb="3">
      <t>マタサブロウ</t>
    </rPh>
    <phoneticPr fontId="2"/>
  </si>
  <si>
    <t>神楽坂</t>
    <rPh sb="0" eb="3">
      <t>カグラザカ</t>
    </rPh>
    <phoneticPr fontId="2"/>
  </si>
  <si>
    <t>キョジオーン</t>
  </si>
  <si>
    <t>キョジオーン</t>
    <phoneticPr fontId="2"/>
  </si>
  <si>
    <t>ユキメノコ</t>
  </si>
  <si>
    <t>ユキメノコ</t>
    <phoneticPr fontId="2"/>
  </si>
  <si>
    <t>にょっす</t>
    <phoneticPr fontId="2"/>
  </si>
  <si>
    <t>無名</t>
    <rPh sb="0" eb="2">
      <t>ムメイ</t>
    </rPh>
    <phoneticPr fontId="2"/>
  </si>
  <si>
    <t>ルナトーン</t>
  </si>
  <si>
    <t>ルナトーン</t>
    <phoneticPr fontId="2"/>
  </si>
  <si>
    <t>オーロット</t>
  </si>
  <si>
    <t>オーロット</t>
    <phoneticPr fontId="2"/>
  </si>
  <si>
    <t>ケーシィ</t>
  </si>
  <si>
    <t>ケーシィ</t>
    <phoneticPr fontId="2"/>
  </si>
  <si>
    <t>・</t>
    <phoneticPr fontId="2"/>
  </si>
  <si>
    <t>ryuto</t>
    <phoneticPr fontId="2"/>
  </si>
  <si>
    <t>ハッサム</t>
  </si>
  <si>
    <t>ハッサム</t>
    <phoneticPr fontId="2"/>
  </si>
  <si>
    <t>ゴリランダー</t>
  </si>
  <si>
    <t>ゴリランダー</t>
    <phoneticPr fontId="2"/>
  </si>
  <si>
    <t>水ロトム</t>
  </si>
  <si>
    <t>水ロトム</t>
    <rPh sb="0" eb="1">
      <t>ミズ</t>
    </rPh>
    <phoneticPr fontId="2"/>
  </si>
  <si>
    <t>ゆめとくせい</t>
    <phoneticPr fontId="2"/>
  </si>
  <si>
    <t>ちょ</t>
    <phoneticPr fontId="2"/>
  </si>
  <si>
    <t>茶</t>
    <rPh sb="0" eb="1">
      <t>チャ</t>
    </rPh>
    <phoneticPr fontId="2"/>
  </si>
  <si>
    <t>ユレイドル</t>
  </si>
  <si>
    <t>ユレイドル</t>
    <phoneticPr fontId="2"/>
  </si>
  <si>
    <t>クラウス</t>
    <phoneticPr fontId="2"/>
  </si>
  <si>
    <t>ひ。</t>
    <phoneticPr fontId="2"/>
  </si>
  <si>
    <t>キレイハナ</t>
  </si>
  <si>
    <t>キレイハナ</t>
    <phoneticPr fontId="2"/>
  </si>
  <si>
    <t>ラランテス</t>
  </si>
  <si>
    <t>ラランテス</t>
    <phoneticPr fontId="2"/>
  </si>
  <si>
    <t>ワタッコ</t>
  </si>
  <si>
    <t>ワタッコ</t>
    <phoneticPr fontId="2"/>
  </si>
  <si>
    <t>草タイプ</t>
    <rPh sb="0" eb="1">
      <t>クサ</t>
    </rPh>
    <phoneticPr fontId="2"/>
  </si>
  <si>
    <t>焼きうどん</t>
    <rPh sb="0" eb="1">
      <t>ヤ</t>
    </rPh>
    <phoneticPr fontId="2"/>
  </si>
  <si>
    <t>メタグロス</t>
  </si>
  <si>
    <t>メタグロス</t>
    <phoneticPr fontId="2"/>
  </si>
  <si>
    <t>ゼルネアス</t>
  </si>
  <si>
    <t>ゼルネアス</t>
    <phoneticPr fontId="2"/>
  </si>
  <si>
    <t>魅上</t>
    <rPh sb="0" eb="2">
      <t>ミカミ</t>
    </rPh>
    <phoneticPr fontId="2"/>
  </si>
  <si>
    <t>ハム太郎</t>
    <rPh sb="2" eb="4">
      <t>タロウ</t>
    </rPh>
    <phoneticPr fontId="2"/>
  </si>
  <si>
    <t>ディグダ</t>
  </si>
  <si>
    <t>ディグダ</t>
    <phoneticPr fontId="2"/>
  </si>
  <si>
    <t>ソーナンス</t>
  </si>
  <si>
    <t>ソーナンス</t>
    <phoneticPr fontId="2"/>
  </si>
  <si>
    <t>ポッチャマ</t>
  </si>
  <si>
    <t>ポッチャマ</t>
    <phoneticPr fontId="2"/>
  </si>
  <si>
    <t>ハムより生ハム派</t>
    <rPh sb="4" eb="5">
      <t>ナマ</t>
    </rPh>
    <rPh sb="7" eb="8">
      <t>ハ</t>
    </rPh>
    <phoneticPr fontId="2"/>
  </si>
  <si>
    <t>クレッフィ</t>
  </si>
  <si>
    <t>クレッフィ</t>
    <phoneticPr fontId="2"/>
  </si>
  <si>
    <t>ゆーじ</t>
    <phoneticPr fontId="2"/>
  </si>
  <si>
    <t>リキ</t>
    <phoneticPr fontId="2"/>
  </si>
  <si>
    <t>ムウマージ</t>
  </si>
  <si>
    <t>ムウマージ</t>
    <phoneticPr fontId="2"/>
  </si>
  <si>
    <t>シャワーズ</t>
  </si>
  <si>
    <t>シャワーズ</t>
    <phoneticPr fontId="2"/>
  </si>
  <si>
    <t>れん</t>
    <phoneticPr fontId="2"/>
  </si>
  <si>
    <t>ソラ</t>
    <phoneticPr fontId="2"/>
  </si>
  <si>
    <t>ジュペッタ</t>
  </si>
  <si>
    <t>ジュペッタ</t>
    <phoneticPr fontId="2"/>
  </si>
  <si>
    <t>K</t>
    <phoneticPr fontId="2"/>
  </si>
  <si>
    <t>なめろう</t>
    <phoneticPr fontId="2"/>
  </si>
  <si>
    <t>ゴーリキー</t>
  </si>
  <si>
    <t>ゴーリキー</t>
    <phoneticPr fontId="2"/>
  </si>
  <si>
    <t>ミキ</t>
    <phoneticPr fontId="2"/>
  </si>
  <si>
    <t>らと</t>
    <phoneticPr fontId="2"/>
  </si>
  <si>
    <t>ドレディア</t>
  </si>
  <si>
    <t>ドレディア</t>
    <phoneticPr fontId="2"/>
  </si>
  <si>
    <t>ウソッキー</t>
  </si>
  <si>
    <t>ウソッキー</t>
    <phoneticPr fontId="2"/>
  </si>
  <si>
    <t>任天堂</t>
    <rPh sb="0" eb="3">
      <t>ニンテンドウ</t>
    </rPh>
    <phoneticPr fontId="2"/>
  </si>
  <si>
    <t>はりぼう</t>
    <phoneticPr fontId="2"/>
  </si>
  <si>
    <t>デオキシス</t>
  </si>
  <si>
    <t>デオキシス</t>
    <phoneticPr fontId="2"/>
  </si>
  <si>
    <t>だっち</t>
    <phoneticPr fontId="2"/>
  </si>
  <si>
    <t>ゴースト、エスパー、フェアリー</t>
    <phoneticPr fontId="2"/>
  </si>
  <si>
    <t>デボネア</t>
    <phoneticPr fontId="2"/>
  </si>
  <si>
    <t>くだものてんごく</t>
    <phoneticPr fontId="2"/>
  </si>
  <si>
    <t>(空白)</t>
  </si>
  <si>
    <t>総計</t>
  </si>
  <si>
    <t>番号</t>
    <rPh sb="0" eb="2">
      <t>バンゴウ</t>
    </rPh>
    <phoneticPr fontId="2"/>
  </si>
  <si>
    <t>行ラベル</t>
  </si>
  <si>
    <t>個数 / 内容</t>
  </si>
  <si>
    <t>まる太郎</t>
    <rPh sb="2" eb="4">
      <t>タロウ</t>
    </rPh>
    <phoneticPr fontId="2"/>
  </si>
  <si>
    <t>シェイミ</t>
    <phoneticPr fontId="2"/>
  </si>
  <si>
    <t>カフェイン忘れじぃじ</t>
    <rPh sb="5" eb="6">
      <t>ワス</t>
    </rPh>
    <phoneticPr fontId="2"/>
  </si>
  <si>
    <t>トゲキッス</t>
    <phoneticPr fontId="2"/>
  </si>
  <si>
    <t>ハピナス</t>
    <phoneticPr fontId="2"/>
  </si>
  <si>
    <t>ニンフィア</t>
    <phoneticPr fontId="2"/>
  </si>
  <si>
    <t>グライオン</t>
    <phoneticPr fontId="2"/>
  </si>
  <si>
    <t>絡め手、てんめぐ無限怯みキッス</t>
    <rPh sb="0" eb="1">
      <t>カラ</t>
    </rPh>
    <rPh sb="2" eb="3">
      <t>デ</t>
    </rPh>
    <rPh sb="8" eb="10">
      <t>ムゲン</t>
    </rPh>
    <rPh sb="10" eb="11">
      <t>ヒル</t>
    </rPh>
    <phoneticPr fontId="2"/>
  </si>
  <si>
    <t>絡め手、特殊受けハピナス</t>
    <rPh sb="4" eb="7">
      <t>トクシュウ</t>
    </rPh>
    <phoneticPr fontId="2"/>
  </si>
  <si>
    <t>絡め手、のどスプレーニンフィア</t>
    <phoneticPr fontId="2"/>
  </si>
  <si>
    <t>絡め手、ポイヒグライオン</t>
    <phoneticPr fontId="2"/>
  </si>
  <si>
    <t>ヨッシー</t>
    <phoneticPr fontId="2"/>
  </si>
  <si>
    <t>サケブシッポ</t>
    <phoneticPr fontId="2"/>
  </si>
  <si>
    <t>ダブルバトルならサーナイトトリックルームの横にはらだいこカビゴン</t>
    <rPh sb="21" eb="22">
      <t>ヨコ</t>
    </rPh>
    <phoneticPr fontId="2"/>
  </si>
  <si>
    <t>ヤバソチャ</t>
    <phoneticPr fontId="2"/>
  </si>
  <si>
    <t>コータス</t>
    <phoneticPr fontId="2"/>
  </si>
  <si>
    <t>噴火コータス</t>
    <rPh sb="0" eb="2">
      <t>フンカ</t>
    </rPh>
    <phoneticPr fontId="2"/>
  </si>
  <si>
    <t>回復ヤバソチャ</t>
    <rPh sb="0" eb="2">
      <t>カイフク</t>
    </rPh>
    <phoneticPr fontId="2"/>
  </si>
  <si>
    <t>とも</t>
    <phoneticPr fontId="2"/>
  </si>
  <si>
    <t>プリン→プリン→プクリン</t>
    <phoneticPr fontId="2"/>
  </si>
  <si>
    <t>みんな本当にありがとう　ここで実際に使っているポケモンを発表！！
本編　ミミロップ、チルタリス、マホイップ、タブンネなど
ポケポケ　プクリンモスノウの眠りデッキ
ユナイト　ニンフィア、キュワワー、ピクシー</t>
    <rPh sb="3" eb="5">
      <t>ホントウ</t>
    </rPh>
    <rPh sb="15" eb="17">
      <t>ジッサイ</t>
    </rPh>
    <rPh sb="18" eb="19">
      <t>ツカ</t>
    </rPh>
    <rPh sb="28" eb="30">
      <t>ハッピョウ</t>
    </rPh>
    <rPh sb="34" eb="36">
      <t>ホンペン</t>
    </rPh>
    <rPh sb="76" eb="77">
      <t>ネム</t>
    </rPh>
    <phoneticPr fontId="2"/>
  </si>
  <si>
    <t>チルタリス</t>
  </si>
  <si>
    <t>チルタリス</t>
    <phoneticPr fontId="2"/>
  </si>
  <si>
    <t>モスノウ</t>
  </si>
  <si>
    <t>モスノウ</t>
    <phoneticPr fontId="2"/>
  </si>
  <si>
    <t>ニンフィア</t>
  </si>
  <si>
    <t>キュワワー</t>
  </si>
  <si>
    <t>キュワワー</t>
    <phoneticPr fontId="2"/>
  </si>
  <si>
    <t>自己レスの前か後か</t>
    <rPh sb="0" eb="2">
      <t>ジコ</t>
    </rPh>
    <rPh sb="5" eb="6">
      <t>マエ</t>
    </rPh>
    <rPh sb="7" eb="8">
      <t>アト</t>
    </rPh>
    <phoneticPr fontId="2"/>
  </si>
  <si>
    <t>投稿後しばらくして自己レスし、それをピン留め</t>
    <rPh sb="0" eb="2">
      <t>トウコウ</t>
    </rPh>
    <rPh sb="2" eb="3">
      <t>ゴ</t>
    </rPh>
    <rPh sb="9" eb="11">
      <t>ジコ</t>
    </rPh>
    <rPh sb="20" eb="21">
      <t>ド</t>
    </rPh>
    <phoneticPr fontId="2"/>
  </si>
  <si>
    <t>あまね（投稿主）</t>
    <rPh sb="4" eb="7">
      <t>トウコウヌ</t>
    </rPh>
    <phoneticPr fontId="2"/>
  </si>
  <si>
    <t>自己レス</t>
  </si>
  <si>
    <t>自己レス</t>
    <rPh sb="0" eb="2">
      <t>ジコ</t>
    </rPh>
    <phoneticPr fontId="2"/>
  </si>
  <si>
    <t>自己レスの前</t>
  </si>
  <si>
    <t>自己レスの前</t>
    <rPh sb="0" eb="2">
      <t>ジコ</t>
    </rPh>
    <rPh sb="5" eb="6">
      <t>マエ</t>
    </rPh>
    <phoneticPr fontId="2"/>
  </si>
  <si>
    <t>自己レスの後</t>
  </si>
  <si>
    <t>自己レスの後</t>
    <rPh sb="0" eb="2">
      <t>ジコ</t>
    </rPh>
    <rPh sb="5" eb="6">
      <t>アト</t>
    </rPh>
    <phoneticPr fontId="2"/>
  </si>
  <si>
    <t>投稿主の実際に使っているポケモン</t>
    <rPh sb="0" eb="3">
      <t>トウコウヌシ</t>
    </rPh>
    <rPh sb="4" eb="6">
      <t>ジッサイ</t>
    </rPh>
    <rPh sb="7" eb="8">
      <t>ツカ</t>
    </rPh>
    <phoneticPr fontId="2"/>
  </si>
  <si>
    <t>吉田雅治</t>
    <rPh sb="0" eb="2">
      <t>ヨシダ</t>
    </rPh>
    <rPh sb="2" eb="4">
      <t>マサハル</t>
    </rPh>
    <phoneticPr fontId="2"/>
  </si>
  <si>
    <t>ペリッパー</t>
  </si>
  <si>
    <t>ペリッパー</t>
    <phoneticPr fontId="2"/>
  </si>
  <si>
    <t>オタマロ</t>
  </si>
  <si>
    <t>オタマロ</t>
    <phoneticPr fontId="2"/>
  </si>
  <si>
    <t>s</t>
    <phoneticPr fontId="2"/>
  </si>
  <si>
    <t>ふくろう</t>
    <phoneticPr fontId="2"/>
  </si>
  <si>
    <t>ミカルゲ</t>
  </si>
  <si>
    <t>ミカルゲ</t>
    <phoneticPr fontId="2"/>
  </si>
  <si>
    <t>なんでも屋</t>
    <rPh sb="4" eb="5">
      <t>ヤ</t>
    </rPh>
    <phoneticPr fontId="2"/>
  </si>
  <si>
    <t>恵しょん</t>
    <rPh sb="0" eb="1">
      <t>メグ</t>
    </rPh>
    <phoneticPr fontId="2"/>
  </si>
  <si>
    <t>まめた</t>
    <phoneticPr fontId="2"/>
  </si>
  <si>
    <t>のし</t>
    <phoneticPr fontId="2"/>
  </si>
  <si>
    <t>ノコッチ</t>
  </si>
  <si>
    <t>ノコッチ</t>
    <phoneticPr fontId="2"/>
  </si>
  <si>
    <t>おちゃ</t>
    <phoneticPr fontId="2"/>
  </si>
  <si>
    <t>ひー</t>
    <phoneticPr fontId="2"/>
  </si>
  <si>
    <t>サケブシッポ</t>
  </si>
  <si>
    <t>ハピナス</t>
  </si>
  <si>
    <t>バシャーモ</t>
  </si>
  <si>
    <t>バシャーモ</t>
    <phoneticPr fontId="2"/>
  </si>
  <si>
    <t>ぷれっつぇる</t>
    <phoneticPr fontId="2"/>
  </si>
  <si>
    <t>もーりさん</t>
    <phoneticPr fontId="2"/>
  </si>
  <si>
    <t>ほね</t>
    <phoneticPr fontId="2"/>
  </si>
  <si>
    <t>スリーパー</t>
  </si>
  <si>
    <t>スリーパー</t>
    <phoneticPr fontId="2"/>
  </si>
  <si>
    <t>スリーパーにちょー懐かれてそう</t>
    <rPh sb="9" eb="10">
      <t>ナツ</t>
    </rPh>
    <phoneticPr fontId="2"/>
  </si>
  <si>
    <t>七転び八奈見</t>
    <rPh sb="0" eb="1">
      <t>ナナ</t>
    </rPh>
    <rPh sb="1" eb="2">
      <t>コロ</t>
    </rPh>
    <rPh sb="3" eb="4">
      <t>ハチ</t>
    </rPh>
    <phoneticPr fontId="2"/>
  </si>
  <si>
    <t>エレブー</t>
  </si>
  <si>
    <t>エレブー</t>
    <phoneticPr fontId="2"/>
  </si>
  <si>
    <t>天然水</t>
    <rPh sb="0" eb="3">
      <t>テンネンスイ</t>
    </rPh>
    <phoneticPr fontId="2"/>
  </si>
  <si>
    <t>Y</t>
    <phoneticPr fontId="2"/>
  </si>
  <si>
    <t>ベトベター</t>
  </si>
  <si>
    <t>ベトベター</t>
    <phoneticPr fontId="2"/>
  </si>
  <si>
    <t>（空白）</t>
    <rPh sb="1" eb="3">
      <t>クウハク</t>
    </rPh>
    <phoneticPr fontId="2"/>
  </si>
  <si>
    <t>メガアカイ</t>
    <phoneticPr fontId="2"/>
  </si>
  <si>
    <t>ラフレシア</t>
  </si>
  <si>
    <t>ラフレシア</t>
    <phoneticPr fontId="2"/>
  </si>
  <si>
    <t>cookie</t>
    <phoneticPr fontId="2"/>
  </si>
  <si>
    <t>いつき</t>
    <phoneticPr fontId="2"/>
  </si>
  <si>
    <t>ペロッパフ</t>
  </si>
  <si>
    <t>ペロッパフ</t>
    <phoneticPr fontId="2"/>
  </si>
  <si>
    <t>クロスケ</t>
    <phoneticPr fontId="2"/>
  </si>
  <si>
    <t>元ノーマルのフェアリー</t>
    <rPh sb="0" eb="1">
      <t>モト</t>
    </rPh>
    <phoneticPr fontId="2"/>
  </si>
  <si>
    <t>もうふちゃん</t>
    <phoneticPr fontId="2"/>
  </si>
  <si>
    <t>マル</t>
    <phoneticPr fontId="2"/>
  </si>
  <si>
    <t>eeliaas</t>
    <phoneticPr fontId="2"/>
  </si>
  <si>
    <t>マッギョ</t>
  </si>
  <si>
    <t>マッギョ</t>
    <phoneticPr fontId="2"/>
  </si>
  <si>
    <t>ざき</t>
    <phoneticPr fontId="2"/>
  </si>
  <si>
    <t>アルアル</t>
    <phoneticPr fontId="2"/>
  </si>
  <si>
    <t>ワンパチ</t>
  </si>
  <si>
    <t>ワンパチ</t>
    <phoneticPr fontId="2"/>
  </si>
  <si>
    <t>みんと</t>
    <phoneticPr fontId="2"/>
  </si>
  <si>
    <t>uiのさとー</t>
    <phoneticPr fontId="2"/>
  </si>
  <si>
    <t>耐久型カイリュー</t>
    <rPh sb="0" eb="3">
      <t>タイキュウガタ</t>
    </rPh>
    <phoneticPr fontId="2"/>
  </si>
  <si>
    <t>シェイミ</t>
  </si>
  <si>
    <t>グライオン</t>
  </si>
  <si>
    <t>ヤバソチャ</t>
  </si>
  <si>
    <t>トゲキッス</t>
  </si>
  <si>
    <t>コータス</t>
  </si>
  <si>
    <t>列ラベル</t>
  </si>
  <si>
    <t>ポケモン</t>
    <phoneticPr fontId="2"/>
  </si>
  <si>
    <t>タイプ１</t>
    <phoneticPr fontId="2"/>
  </si>
  <si>
    <t>タイプ２</t>
    <phoneticPr fontId="2"/>
  </si>
  <si>
    <t>かわいさ</t>
    <phoneticPr fontId="2"/>
  </si>
  <si>
    <t>かっこよさ</t>
    <phoneticPr fontId="2"/>
  </si>
  <si>
    <t>うつくしさ</t>
    <phoneticPr fontId="2"/>
  </si>
  <si>
    <t>対戦強さ</t>
    <rPh sb="0" eb="2">
      <t>タイセン</t>
    </rPh>
    <rPh sb="2" eb="3">
      <t>ツヨ</t>
    </rPh>
    <phoneticPr fontId="2"/>
  </si>
  <si>
    <t>知名度</t>
    <rPh sb="0" eb="3">
      <t>チメイド</t>
    </rPh>
    <phoneticPr fontId="2"/>
  </si>
  <si>
    <t>マスタに登録忘れてない？</t>
    <rPh sb="4" eb="6">
      <t>トウロク</t>
    </rPh>
    <rPh sb="6" eb="7">
      <t>ワス</t>
    </rPh>
    <phoneticPr fontId="2"/>
  </si>
  <si>
    <t>ある意味かわいい</t>
    <rPh sb="2" eb="4">
      <t>イミ</t>
    </rPh>
    <phoneticPr fontId="2"/>
  </si>
  <si>
    <t>普通</t>
    <rPh sb="0" eb="2">
      <t>フツウ</t>
    </rPh>
    <phoneticPr fontId="2"/>
  </si>
  <si>
    <t>ややマイナー</t>
    <phoneticPr fontId="2"/>
  </si>
  <si>
    <t>かわいい</t>
    <phoneticPr fontId="2"/>
  </si>
  <si>
    <t>きれい</t>
    <phoneticPr fontId="2"/>
  </si>
  <si>
    <t>既プレイ層にはメジャー</t>
    <rPh sb="0" eb="1">
      <t>キ</t>
    </rPh>
    <rPh sb="4" eb="5">
      <t>ソウ</t>
    </rPh>
    <phoneticPr fontId="2"/>
  </si>
  <si>
    <t>言われた回数</t>
    <rPh sb="0" eb="1">
      <t>イ</t>
    </rPh>
    <rPh sb="4" eb="6">
      <t>カイスウ</t>
    </rPh>
    <phoneticPr fontId="2"/>
  </si>
  <si>
    <t>チョコレート好き</t>
    <rPh sb="6" eb="7">
      <t>ス</t>
    </rPh>
    <phoneticPr fontId="2"/>
  </si>
  <si>
    <t>メタモン</t>
  </si>
  <si>
    <t>メタモン</t>
    <phoneticPr fontId="2"/>
  </si>
  <si>
    <t>イルカマン</t>
  </si>
  <si>
    <t>イルカマン</t>
    <phoneticPr fontId="2"/>
  </si>
  <si>
    <t>露伴</t>
    <rPh sb="0" eb="2">
      <t>ロハン</t>
    </rPh>
    <phoneticPr fontId="2"/>
  </si>
  <si>
    <t>はる</t>
    <phoneticPr fontId="2"/>
  </si>
  <si>
    <t>サンド</t>
  </si>
  <si>
    <t>サンド</t>
    <phoneticPr fontId="2"/>
  </si>
  <si>
    <t>ランプ</t>
    <phoneticPr fontId="2"/>
  </si>
  <si>
    <t>うち、自己レス前</t>
    <rPh sb="3" eb="5">
      <t>ジコ</t>
    </rPh>
    <rPh sb="7" eb="8">
      <t>マエ</t>
    </rPh>
    <phoneticPr fontId="2"/>
  </si>
  <si>
    <t>うち、自己レス後</t>
    <rPh sb="3" eb="5">
      <t>ジコ</t>
    </rPh>
    <rPh sb="7" eb="8">
      <t>ゴ</t>
    </rPh>
    <phoneticPr fontId="2"/>
  </si>
  <si>
    <t>一言で言えば</t>
    <rPh sb="0" eb="2">
      <t>ヒトコト</t>
    </rPh>
    <rPh sb="3" eb="4">
      <t>イ</t>
    </rPh>
    <phoneticPr fontId="2"/>
  </si>
  <si>
    <t>強い</t>
    <rPh sb="0" eb="1">
      <t>ツヨ</t>
    </rPh>
    <phoneticPr fontId="2"/>
  </si>
  <si>
    <t>ややかわいい</t>
    <phoneticPr fontId="2"/>
  </si>
  <si>
    <t>ややかっこいい</t>
    <phoneticPr fontId="2"/>
  </si>
  <si>
    <t>ガチポケ</t>
    <phoneticPr fontId="2"/>
  </si>
  <si>
    <t>ノーマル</t>
    <phoneticPr fontId="2"/>
  </si>
  <si>
    <t>とてもかわいい</t>
    <phoneticPr fontId="2"/>
  </si>
  <si>
    <t>弱い</t>
    <rPh sb="0" eb="1">
      <t>ヨワ</t>
    </rPh>
    <phoneticPr fontId="2"/>
  </si>
  <si>
    <t>フェアリー</t>
    <phoneticPr fontId="2"/>
  </si>
  <si>
    <t>スプーキー</t>
    <phoneticPr fontId="2"/>
  </si>
  <si>
    <t>個性的</t>
    <rPh sb="0" eb="2">
      <t>コセイ</t>
    </rPh>
    <rPh sb="2" eb="3">
      <t>テキ</t>
    </rPh>
    <phoneticPr fontId="2"/>
  </si>
  <si>
    <t>やや個性的</t>
    <rPh sb="2" eb="5">
      <t>コセイテキ</t>
    </rPh>
    <phoneticPr fontId="2"/>
  </si>
  <si>
    <t>無難</t>
    <rPh sb="0" eb="2">
      <t>ブナン</t>
    </rPh>
    <phoneticPr fontId="2"/>
  </si>
  <si>
    <t>個性的</t>
    <rPh sb="0" eb="3">
      <t>コセイテキ</t>
    </rPh>
    <phoneticPr fontId="2"/>
  </si>
  <si>
    <t>進化前</t>
    <rPh sb="0" eb="3">
      <t>シンカマエ</t>
    </rPh>
    <phoneticPr fontId="2"/>
  </si>
  <si>
    <t>一般人にもメジャー</t>
    <rPh sb="0" eb="3">
      <t>イッパンジン</t>
    </rPh>
    <phoneticPr fontId="2"/>
  </si>
  <si>
    <t>ジェンダー</t>
    <phoneticPr fontId="2"/>
  </si>
  <si>
    <t>男の子向け</t>
    <rPh sb="0" eb="1">
      <t>オトコ</t>
    </rPh>
    <rPh sb="2" eb="4">
      <t>コム</t>
    </rPh>
    <phoneticPr fontId="2"/>
  </si>
  <si>
    <t>女の子向け</t>
    <rPh sb="0" eb="1">
      <t>オンナ</t>
    </rPh>
    <rPh sb="2" eb="4">
      <t>コム</t>
    </rPh>
    <phoneticPr fontId="2"/>
  </si>
  <si>
    <t>ネタ枠</t>
    <rPh sb="2" eb="3">
      <t>ワク</t>
    </rPh>
    <phoneticPr fontId="2"/>
  </si>
  <si>
    <t>かっこいい</t>
    <phoneticPr fontId="2"/>
  </si>
  <si>
    <t>いかつい</t>
    <phoneticPr fontId="2"/>
  </si>
  <si>
    <t>きもい</t>
    <phoneticPr fontId="2"/>
  </si>
  <si>
    <t>テクニカル</t>
    <phoneticPr fontId="2"/>
  </si>
  <si>
    <t>ネギタン塩</t>
    <rPh sb="4" eb="5">
      <t>シオ</t>
    </rPh>
    <phoneticPr fontId="2"/>
  </si>
  <si>
    <t>ひろたん</t>
    <phoneticPr fontId="2"/>
  </si>
  <si>
    <t>ベロリンガ</t>
    <phoneticPr fontId="2"/>
  </si>
  <si>
    <t>シン・カギタ</t>
    <phoneticPr fontId="2"/>
  </si>
  <si>
    <t>とまと</t>
    <phoneticPr fontId="2"/>
  </si>
  <si>
    <t>マルマイン</t>
    <phoneticPr fontId="2"/>
  </si>
  <si>
    <t>イーブイ進化好き民</t>
    <rPh sb="4" eb="6">
      <t>シンカ</t>
    </rPh>
    <rPh sb="6" eb="7">
      <t>ス</t>
    </rPh>
    <rPh sb="8" eb="9">
      <t>ミン</t>
    </rPh>
    <phoneticPr fontId="2"/>
  </si>
  <si>
    <t>自爆系</t>
    <rPh sb="0" eb="2">
      <t>ジバク</t>
    </rPh>
    <rPh sb="2" eb="3">
      <t>ケイ</t>
    </rPh>
    <phoneticPr fontId="2"/>
  </si>
  <si>
    <t>しず</t>
    <phoneticPr fontId="2"/>
  </si>
  <si>
    <t>ゆうくん</t>
    <phoneticPr fontId="2"/>
  </si>
  <si>
    <t>海苔</t>
    <rPh sb="0" eb="2">
      <t>ノリ</t>
    </rPh>
    <phoneticPr fontId="2"/>
  </si>
  <si>
    <t>裕貴</t>
    <rPh sb="0" eb="2">
      <t>ユウキ</t>
    </rPh>
    <phoneticPr fontId="2"/>
  </si>
  <si>
    <t>とびこ</t>
    <phoneticPr fontId="2"/>
  </si>
  <si>
    <t>悪タイプ</t>
    <rPh sb="0" eb="1">
      <t>アク</t>
    </rPh>
    <phoneticPr fontId="2"/>
  </si>
  <si>
    <t>オニチャン</t>
    <phoneticPr fontId="2"/>
  </si>
  <si>
    <t>ラッタ</t>
    <phoneticPr fontId="2"/>
  </si>
  <si>
    <t>ハクリュー</t>
    <phoneticPr fontId="2"/>
  </si>
  <si>
    <t>幸せ</t>
    <rPh sb="0" eb="1">
      <t>シアワ</t>
    </rPh>
    <phoneticPr fontId="2"/>
  </si>
  <si>
    <t>かわいい</t>
  </si>
  <si>
    <t>モンスター</t>
  </si>
  <si>
    <t>モンスター</t>
    <phoneticPr fontId="2"/>
  </si>
  <si>
    <t>きもい</t>
  </si>
  <si>
    <t>いかつい</t>
  </si>
  <si>
    <t>かっこいい</t>
  </si>
  <si>
    <t>スプーキー</t>
  </si>
  <si>
    <t>テクニカル</t>
  </si>
  <si>
    <t>強い</t>
  </si>
  <si>
    <t>合計 / 言われた回数</t>
  </si>
  <si>
    <t>コミカル</t>
  </si>
  <si>
    <t>コミカル</t>
    <phoneticPr fontId="2"/>
  </si>
  <si>
    <t>くさ</t>
  </si>
  <si>
    <t>どく</t>
  </si>
  <si>
    <t>ほのお</t>
  </si>
  <si>
    <t>ひこう</t>
  </si>
  <si>
    <t>みず</t>
  </si>
  <si>
    <t>むし</t>
  </si>
  <si>
    <t>ノーマル</t>
  </si>
  <si>
    <t>ラッタ</t>
  </si>
  <si>
    <t>でんき</t>
  </si>
  <si>
    <t>じめん</t>
  </si>
  <si>
    <t>フェアリー</t>
  </si>
  <si>
    <t>かくとう</t>
  </si>
  <si>
    <t>エスパー</t>
  </si>
  <si>
    <t>いわ</t>
  </si>
  <si>
    <t>はがね</t>
  </si>
  <si>
    <t>こおり</t>
  </si>
  <si>
    <t>マルマイン</t>
  </si>
  <si>
    <t>ベロリンガ</t>
  </si>
  <si>
    <t>ドラゴン</t>
  </si>
  <si>
    <t>ハクリュー</t>
  </si>
  <si>
    <t>あく</t>
  </si>
  <si>
    <t>あく</t>
    <phoneticPr fontId="2"/>
  </si>
  <si>
    <t>みず</t>
    <phoneticPr fontId="2"/>
  </si>
  <si>
    <t>でんき</t>
    <phoneticPr fontId="2"/>
  </si>
  <si>
    <t>タイプ</t>
    <phoneticPr fontId="2"/>
  </si>
  <si>
    <t>１と２のあわせた出現回数</t>
    <rPh sb="8" eb="12">
      <t>シュツゲンカイスウ</t>
    </rPh>
    <phoneticPr fontId="2"/>
  </si>
  <si>
    <t>タイプ番号</t>
    <rPh sb="3" eb="5">
      <t>バンゴウ</t>
    </rPh>
    <phoneticPr fontId="2"/>
  </si>
  <si>
    <t>得票数上位（総合）</t>
    <rPh sb="0" eb="3">
      <t>トクヒョウスウ</t>
    </rPh>
    <rPh sb="3" eb="5">
      <t>ジョウイ</t>
    </rPh>
    <rPh sb="6" eb="8">
      <t>ソウゴウ</t>
    </rPh>
    <phoneticPr fontId="2"/>
  </si>
  <si>
    <t>得票数上位（自己レス前）</t>
    <rPh sb="0" eb="3">
      <t>トクヒョウスウ</t>
    </rPh>
    <rPh sb="3" eb="5">
      <t>ジョウイ</t>
    </rPh>
    <rPh sb="6" eb="8">
      <t>ジコ</t>
    </rPh>
    <rPh sb="10" eb="11">
      <t>マエ</t>
    </rPh>
    <phoneticPr fontId="2"/>
  </si>
  <si>
    <t>得票数上位（自己レス後）</t>
    <rPh sb="0" eb="3">
      <t>トクヒョウスウ</t>
    </rPh>
    <rPh sb="3" eb="5">
      <t>ジョウイ</t>
    </rPh>
    <rPh sb="6" eb="8">
      <t>ジコ</t>
    </rPh>
    <rPh sb="10" eb="11">
      <t>アト</t>
    </rPh>
    <phoneticPr fontId="2"/>
  </si>
  <si>
    <t>多いタイプの代表</t>
    <rPh sb="0" eb="1">
      <t>オオ</t>
    </rPh>
    <rPh sb="6" eb="8">
      <t>ダイヒョウ</t>
    </rPh>
    <phoneticPr fontId="2"/>
  </si>
  <si>
    <t>言及タイプの代表</t>
    <rPh sb="0" eb="2">
      <t>ゲンキュウ</t>
    </rPh>
    <rPh sb="6" eb="8">
      <t>ダイヒョウ</t>
    </rPh>
    <phoneticPr fontId="2"/>
  </si>
  <si>
    <t>多い印象の代表</t>
    <rPh sb="0" eb="1">
      <t>オオ</t>
    </rPh>
    <rPh sb="2" eb="4">
      <t>インショウ</t>
    </rPh>
    <rPh sb="5" eb="7">
      <t>ダイヒョウ</t>
    </rPh>
    <phoneticPr fontId="2"/>
  </si>
  <si>
    <t>言及印象の代表</t>
    <rPh sb="0" eb="2">
      <t>ゲンキュウ</t>
    </rPh>
    <rPh sb="2" eb="4">
      <t>インショウ</t>
    </rPh>
    <rPh sb="5" eb="7">
      <t>ダイヒョウ</t>
    </rPh>
    <phoneticPr fontId="2"/>
  </si>
  <si>
    <t>ー</t>
    <phoneticPr fontId="2"/>
  </si>
  <si>
    <t>可愛い系のノーマル</t>
  </si>
  <si>
    <t>くさ</t>
    <phoneticPr fontId="2"/>
  </si>
  <si>
    <t>ゴースト・エスパー・フェアリー</t>
    <phoneticPr fontId="2"/>
  </si>
  <si>
    <t>元ノーマルのフェアリー</t>
  </si>
  <si>
    <t>メンヘラ</t>
    <phoneticPr fontId="2"/>
  </si>
  <si>
    <t>夢特性</t>
    <rPh sb="0" eb="3">
      <t>ユメトクセイ</t>
    </rPh>
    <phoneticPr fontId="2"/>
  </si>
  <si>
    <t>搦め手</t>
    <rPh sb="0" eb="1">
      <t>カラ</t>
    </rPh>
    <rPh sb="2" eb="3">
      <t>テ</t>
    </rPh>
    <phoneticPr fontId="2"/>
  </si>
  <si>
    <t>耐久カイリュー</t>
    <rPh sb="0" eb="2">
      <t>タイキュウ</t>
    </rPh>
    <phoneticPr fontId="2"/>
  </si>
  <si>
    <t>まとめ</t>
    <phoneticPr fontId="2"/>
  </si>
  <si>
    <t>集計</t>
    <rPh sb="0" eb="2">
      <t>シュウケイ</t>
    </rPh>
    <phoneticPr fontId="2"/>
  </si>
  <si>
    <t>出現</t>
    <rPh sb="0" eb="2">
      <t>シュツゲン</t>
    </rPh>
    <phoneticPr fontId="2"/>
  </si>
  <si>
    <t>249番までで、自己レス前を優先して検討。</t>
    <rPh sb="3" eb="4">
      <t>バン</t>
    </rPh>
    <rPh sb="8" eb="10">
      <t>ジコ</t>
    </rPh>
    <rPh sb="12" eb="13">
      <t>マエ</t>
    </rPh>
    <rPh sb="14" eb="16">
      <t>ユウセン</t>
    </rPh>
    <rPh sb="18" eb="20">
      <t>ケントウ</t>
    </rPh>
    <phoneticPr fontId="2"/>
  </si>
  <si>
    <t>ブニャット</t>
    <phoneticPr fontId="2"/>
  </si>
  <si>
    <t>たろう</t>
    <phoneticPr fontId="2"/>
  </si>
  <si>
    <t>サバ缶</t>
    <rPh sb="2" eb="3">
      <t>カン</t>
    </rPh>
    <phoneticPr fontId="2"/>
  </si>
  <si>
    <t>カイオーガ</t>
    <phoneticPr fontId="2"/>
  </si>
  <si>
    <t>pro手印</t>
    <rPh sb="3" eb="5">
      <t>テジルシ</t>
    </rPh>
    <phoneticPr fontId="2"/>
  </si>
  <si>
    <t>ムックル</t>
    <phoneticPr fontId="2"/>
  </si>
  <si>
    <t>色違いムックル</t>
    <rPh sb="0" eb="2">
      <t>イロチガ</t>
    </rPh>
    <phoneticPr fontId="2"/>
  </si>
  <si>
    <t>おきなわ</t>
    <phoneticPr fontId="2"/>
  </si>
  <si>
    <t>ぶーちゃん</t>
    <phoneticPr fontId="2"/>
  </si>
  <si>
    <t>ゴニョニョ</t>
    <phoneticPr fontId="2"/>
  </si>
  <si>
    <t>主食チョコワ</t>
    <rPh sb="0" eb="2">
      <t>シュショク</t>
    </rPh>
    <phoneticPr fontId="2"/>
  </si>
  <si>
    <t>まさ</t>
    <phoneticPr fontId="2"/>
  </si>
  <si>
    <t>ドーブル</t>
    <phoneticPr fontId="2"/>
  </si>
  <si>
    <t>サンドパン</t>
    <phoneticPr fontId="2"/>
  </si>
  <si>
    <t>闇</t>
    <rPh sb="0" eb="1">
      <t>ヤミ</t>
    </rPh>
    <phoneticPr fontId="2"/>
  </si>
  <si>
    <t>三ツ矢サイダー</t>
    <rPh sb="0" eb="1">
      <t>ミ</t>
    </rPh>
    <rPh sb="2" eb="3">
      <t>ヤ</t>
    </rPh>
    <phoneticPr fontId="2"/>
  </si>
  <si>
    <t>ザングース</t>
    <phoneticPr fontId="2"/>
  </si>
  <si>
    <t>リラックマjr</t>
    <phoneticPr fontId="2"/>
  </si>
  <si>
    <t>深海少年</t>
    <rPh sb="0" eb="2">
      <t>シンカイ</t>
    </rPh>
    <rPh sb="2" eb="4">
      <t>ショウネン</t>
    </rPh>
    <phoneticPr fontId="2"/>
  </si>
  <si>
    <t>マラカッチ</t>
    <phoneticPr fontId="2"/>
  </si>
  <si>
    <t>ムシャーナ</t>
    <phoneticPr fontId="2"/>
  </si>
  <si>
    <t>パッチール</t>
    <phoneticPr fontId="2"/>
  </si>
  <si>
    <t>ニューラ</t>
    <phoneticPr fontId="2"/>
  </si>
  <si>
    <t>モルペコ</t>
    <phoneticPr fontId="2"/>
  </si>
  <si>
    <t>ゆきおじ</t>
    <phoneticPr fontId="2"/>
  </si>
  <si>
    <t>おべっかスマイリー豆腐</t>
    <rPh sb="9" eb="11">
      <t>トウフ</t>
    </rPh>
    <phoneticPr fontId="2"/>
  </si>
  <si>
    <t>クヌギダマ</t>
    <phoneticPr fontId="2"/>
  </si>
  <si>
    <t>クルミル</t>
    <phoneticPr fontId="2"/>
  </si>
  <si>
    <t>lee汰</t>
    <rPh sb="3" eb="4">
      <t>タ</t>
    </rPh>
    <phoneticPr fontId="2"/>
  </si>
  <si>
    <t>いぬおっとせい</t>
    <phoneticPr fontId="2"/>
  </si>
  <si>
    <t>捨て垢</t>
    <rPh sb="0" eb="1">
      <t>ス</t>
    </rPh>
    <rPh sb="2" eb="3">
      <t>アカ</t>
    </rPh>
    <phoneticPr fontId="2"/>
  </si>
  <si>
    <t>アズマオウ</t>
    <phoneticPr fontId="2"/>
  </si>
  <si>
    <t>ナマズン</t>
    <phoneticPr fontId="2"/>
  </si>
  <si>
    <t>カラサリス</t>
    <phoneticPr fontId="2"/>
  </si>
  <si>
    <t>アルセウス</t>
    <phoneticPr fontId="2"/>
  </si>
  <si>
    <t>ビーダル</t>
    <phoneticPr fontId="2"/>
  </si>
  <si>
    <t>あつくん</t>
    <phoneticPr fontId="2"/>
  </si>
  <si>
    <t>昔からの相棒がポッチャマで今はエンペルトに進化してそう</t>
    <rPh sb="0" eb="1">
      <t>ムカシ</t>
    </rPh>
    <rPh sb="4" eb="6">
      <t>アイボウ</t>
    </rPh>
    <rPh sb="13" eb="14">
      <t>イマ</t>
    </rPh>
    <rPh sb="21" eb="23">
      <t>シンカ</t>
    </rPh>
    <phoneticPr fontId="2"/>
  </si>
  <si>
    <t>かいせい</t>
    <phoneticPr fontId="2"/>
  </si>
  <si>
    <t>ほかる</t>
    <phoneticPr fontId="2"/>
  </si>
  <si>
    <t>ギルガルド</t>
    <phoneticPr fontId="2"/>
  </si>
  <si>
    <t>可愛いの言うと面白くないから意外とギルガルド</t>
    <rPh sb="0" eb="2">
      <t>カワイ</t>
    </rPh>
    <rPh sb="4" eb="5">
      <t>イ</t>
    </rPh>
    <rPh sb="7" eb="9">
      <t>オモシロ</t>
    </rPh>
    <rPh sb="14" eb="16">
      <t>イガイ</t>
    </rPh>
    <phoneticPr fontId="2"/>
  </si>
  <si>
    <t>安藤</t>
    <rPh sb="0" eb="2">
      <t>アンドウ</t>
    </rPh>
    <phoneticPr fontId="2"/>
  </si>
  <si>
    <t>積み技使いそう</t>
    <rPh sb="0" eb="1">
      <t>ツ</t>
    </rPh>
    <rPh sb="2" eb="3">
      <t>ワザ</t>
    </rPh>
    <rPh sb="3" eb="4">
      <t>ツカ</t>
    </rPh>
    <phoneticPr fontId="2"/>
  </si>
  <si>
    <t>こう見えて一撃必殺系</t>
    <rPh sb="2" eb="3">
      <t>ミ</t>
    </rPh>
    <rPh sb="5" eb="9">
      <t>イチゲキヒッサツ</t>
    </rPh>
    <rPh sb="9" eb="10">
      <t>ケイ</t>
    </rPh>
    <phoneticPr fontId="2"/>
  </si>
  <si>
    <t>唯斗</t>
    <rPh sb="0" eb="1">
      <t>ユイ</t>
    </rPh>
    <rPh sb="1" eb="2">
      <t>ト</t>
    </rPh>
    <phoneticPr fontId="2"/>
  </si>
  <si>
    <t>佐々木</t>
    <rPh sb="0" eb="3">
      <t>ササキ</t>
    </rPh>
    <phoneticPr fontId="2"/>
  </si>
  <si>
    <t>アローラゴローン</t>
    <phoneticPr fontId="2"/>
  </si>
  <si>
    <t>ニョロゾ</t>
    <phoneticPr fontId="2"/>
  </si>
  <si>
    <t>ブーバー</t>
    <phoneticPr fontId="2"/>
  </si>
  <si>
    <t>ストライク</t>
    <phoneticPr fontId="2"/>
  </si>
  <si>
    <t>ムチュール</t>
    <phoneticPr fontId="2"/>
  </si>
  <si>
    <t>桜海桃李</t>
    <rPh sb="0" eb="1">
      <t>サクラ</t>
    </rPh>
    <rPh sb="1" eb="2">
      <t>ウミ</t>
    </rPh>
    <rPh sb="2" eb="4">
      <t>トウリ</t>
    </rPh>
    <phoneticPr fontId="2"/>
  </si>
  <si>
    <t>エスパー</t>
    <phoneticPr fontId="2"/>
  </si>
  <si>
    <t>たく</t>
    <phoneticPr fontId="2"/>
  </si>
  <si>
    <t>グラス</t>
    <phoneticPr fontId="2"/>
  </si>
  <si>
    <t>ギラティナ</t>
    <phoneticPr fontId="2"/>
  </si>
  <si>
    <t>じゃがいも男爵</t>
    <rPh sb="5" eb="7">
      <t>ダンシャク</t>
    </rPh>
    <phoneticPr fontId="2"/>
  </si>
  <si>
    <t>何気にギラティナで無双かましてきそう</t>
    <rPh sb="0" eb="2">
      <t>ナニゲ</t>
    </rPh>
    <rPh sb="9" eb="11">
      <t>ムソウ</t>
    </rPh>
    <phoneticPr fontId="2"/>
  </si>
  <si>
    <t>やや</t>
    <phoneticPr fontId="2"/>
  </si>
  <si>
    <t>しゃかな</t>
    <phoneticPr fontId="2"/>
  </si>
  <si>
    <t>ドータクン</t>
    <phoneticPr fontId="2"/>
  </si>
  <si>
    <t>ニンバス20001</t>
    <phoneticPr fontId="2"/>
  </si>
  <si>
    <t>黒猫</t>
    <rPh sb="0" eb="2">
      <t>クロネコ</t>
    </rPh>
    <phoneticPr fontId="2"/>
  </si>
  <si>
    <t>トレーナーの性格が変わればモルペコもあくタイプになります</t>
    <rPh sb="6" eb="8">
      <t>セイカク</t>
    </rPh>
    <rPh sb="9" eb="10">
      <t>カ</t>
    </rPh>
    <phoneticPr fontId="2"/>
  </si>
  <si>
    <t>あす</t>
    <phoneticPr fontId="2"/>
  </si>
  <si>
    <t>あお</t>
    <phoneticPr fontId="2"/>
  </si>
  <si>
    <t>のば</t>
    <phoneticPr fontId="2"/>
  </si>
  <si>
    <t>まこ</t>
    <phoneticPr fontId="2"/>
  </si>
  <si>
    <t>わっぱ</t>
    <phoneticPr fontId="2"/>
  </si>
  <si>
    <t>草タイプで特防高そうなポケモン</t>
    <rPh sb="0" eb="1">
      <t>クサ</t>
    </rPh>
    <rPh sb="5" eb="7">
      <t>トクボウ</t>
    </rPh>
    <rPh sb="7" eb="8">
      <t>タカ</t>
    </rPh>
    <phoneticPr fontId="2"/>
  </si>
  <si>
    <t>ひっさー</t>
    <phoneticPr fontId="2"/>
  </si>
  <si>
    <t>本人はピッピプリン使いたいのにゴーストタイプ使いになりそう</t>
    <rPh sb="0" eb="2">
      <t>ホンニン</t>
    </rPh>
    <rPh sb="9" eb="10">
      <t>ツカ</t>
    </rPh>
    <rPh sb="22" eb="23">
      <t>ツカ</t>
    </rPh>
    <phoneticPr fontId="2"/>
  </si>
  <si>
    <t>おっこつ</t>
    <phoneticPr fontId="2"/>
  </si>
  <si>
    <t>不知火</t>
    <rPh sb="0" eb="3">
      <t>シラヌイ</t>
    </rPh>
    <phoneticPr fontId="2"/>
  </si>
  <si>
    <t>ゴーストタイプ</t>
    <phoneticPr fontId="2"/>
  </si>
  <si>
    <t>甘える電磁波ハバタクカミ</t>
    <rPh sb="0" eb="1">
      <t>アマ</t>
    </rPh>
    <rPh sb="3" eb="6">
      <t>デンジハ</t>
    </rPh>
    <phoneticPr fontId="2"/>
  </si>
  <si>
    <t>ハバタクカミ</t>
    <phoneticPr fontId="2"/>
  </si>
  <si>
    <t>ロベリア</t>
    <phoneticPr fontId="2"/>
  </si>
  <si>
    <t>きらり</t>
    <phoneticPr fontId="2"/>
  </si>
  <si>
    <t>輝石ラッキー</t>
    <rPh sb="0" eb="2">
      <t>キセキ</t>
    </rPh>
    <phoneticPr fontId="2"/>
  </si>
  <si>
    <t>悠</t>
    <rPh sb="0" eb="1">
      <t>ユウ</t>
    </rPh>
    <phoneticPr fontId="2"/>
  </si>
  <si>
    <t>クロ96</t>
    <phoneticPr fontId="2"/>
  </si>
  <si>
    <t>エルフーン</t>
  </si>
  <si>
    <t>エルフーン</t>
    <phoneticPr fontId="2"/>
  </si>
  <si>
    <t>せやせや</t>
    <phoneticPr fontId="2"/>
  </si>
  <si>
    <t>エルレイド</t>
  </si>
  <si>
    <t>エルレイド</t>
    <phoneticPr fontId="2"/>
  </si>
  <si>
    <t>虎の絵文字</t>
    <rPh sb="0" eb="1">
      <t>トラ</t>
    </rPh>
    <rPh sb="2" eb="5">
      <t>エモジ</t>
    </rPh>
    <phoneticPr fontId="2"/>
  </si>
  <si>
    <t>フーディン</t>
  </si>
  <si>
    <t>フーディン</t>
    <phoneticPr fontId="2"/>
  </si>
  <si>
    <t>アキラ</t>
    <phoneticPr fontId="2"/>
  </si>
  <si>
    <t>呑気っちゃん</t>
    <rPh sb="0" eb="2">
      <t>ノンキ</t>
    </rPh>
    <phoneticPr fontId="2"/>
  </si>
  <si>
    <t>ワンリキー</t>
  </si>
  <si>
    <t>ワンリキー</t>
    <phoneticPr fontId="2"/>
  </si>
  <si>
    <t>どう見ても</t>
    <rPh sb="2" eb="3">
      <t>ミ</t>
    </rPh>
    <phoneticPr fontId="2"/>
  </si>
  <si>
    <t>あ</t>
    <phoneticPr fontId="2"/>
  </si>
  <si>
    <t>みれい</t>
    <phoneticPr fontId="2"/>
  </si>
  <si>
    <t>ウパー</t>
  </si>
  <si>
    <t>ウパー</t>
    <phoneticPr fontId="2"/>
  </si>
  <si>
    <t>イーブイ系全種使ってくるイーブイマニア</t>
    <rPh sb="4" eb="5">
      <t>ケイ</t>
    </rPh>
    <rPh sb="5" eb="7">
      <t>ゼンシュ</t>
    </rPh>
    <rPh sb="7" eb="8">
      <t>ツカ</t>
    </rPh>
    <phoneticPr fontId="2"/>
  </si>
  <si>
    <t>うたくん</t>
    <phoneticPr fontId="2"/>
  </si>
  <si>
    <t>ゆめ</t>
    <phoneticPr fontId="2"/>
  </si>
  <si>
    <t>みるくぷりん</t>
    <phoneticPr fontId="2"/>
  </si>
  <si>
    <t>マリル</t>
  </si>
  <si>
    <t>マリル</t>
    <phoneticPr fontId="2"/>
  </si>
  <si>
    <t>トゲチック</t>
  </si>
  <si>
    <t>トゲチック</t>
    <phoneticPr fontId="2"/>
  </si>
  <si>
    <t>テブリム</t>
  </si>
  <si>
    <t>テブリム</t>
    <phoneticPr fontId="2"/>
  </si>
  <si>
    <t>ランプラー</t>
  </si>
  <si>
    <t>ランプラー</t>
    <phoneticPr fontId="2"/>
  </si>
  <si>
    <t>ゴチミル</t>
  </si>
  <si>
    <t>ゴチミル</t>
    <phoneticPr fontId="2"/>
  </si>
  <si>
    <t>ちきん</t>
    <phoneticPr fontId="2"/>
  </si>
  <si>
    <t>伝説使いのタクト</t>
    <rPh sb="0" eb="2">
      <t>デンセツ</t>
    </rPh>
    <rPh sb="2" eb="3">
      <t>ツカ</t>
    </rPh>
    <phoneticPr fontId="2"/>
  </si>
  <si>
    <t>あああ</t>
    <phoneticPr fontId="2"/>
  </si>
  <si>
    <t>零</t>
    <rPh sb="0" eb="1">
      <t>レイ</t>
    </rPh>
    <phoneticPr fontId="2"/>
  </si>
  <si>
    <t>roro</t>
    <phoneticPr fontId="2"/>
  </si>
  <si>
    <t>キノガッサ</t>
  </si>
  <si>
    <t>キノガッサ</t>
    <phoneticPr fontId="2"/>
  </si>
  <si>
    <t>haru</t>
    <phoneticPr fontId="2"/>
  </si>
  <si>
    <t>ここまる</t>
    <phoneticPr fontId="2"/>
  </si>
  <si>
    <t>芋</t>
    <rPh sb="0" eb="1">
      <t>イモ</t>
    </rPh>
    <phoneticPr fontId="2"/>
  </si>
  <si>
    <t>羽の生えたピカチュウ</t>
    <rPh sb="0" eb="1">
      <t>ハネ</t>
    </rPh>
    <rPh sb="2" eb="3">
      <t>ハ</t>
    </rPh>
    <phoneticPr fontId="2"/>
  </si>
  <si>
    <t>なゆ</t>
    <phoneticPr fontId="2"/>
  </si>
  <si>
    <t>とと</t>
    <phoneticPr fontId="2"/>
  </si>
  <si>
    <t>マグカルゴ</t>
  </si>
  <si>
    <t>マグカルゴ</t>
    <phoneticPr fontId="2"/>
  </si>
  <si>
    <t>ゆいと</t>
    <phoneticPr fontId="2"/>
  </si>
  <si>
    <t>しょお</t>
    <phoneticPr fontId="2"/>
  </si>
  <si>
    <t>ゴルダック</t>
  </si>
  <si>
    <t>ゴルダック</t>
    <phoneticPr fontId="2"/>
  </si>
  <si>
    <t>ミツハニー</t>
  </si>
  <si>
    <t>ミツハニー</t>
    <phoneticPr fontId="2"/>
  </si>
  <si>
    <t>タク</t>
    <phoneticPr fontId="2"/>
  </si>
  <si>
    <t>たくみん</t>
    <phoneticPr fontId="2"/>
  </si>
  <si>
    <t>アシレーヌ</t>
  </si>
  <si>
    <t>アシレーヌ</t>
    <phoneticPr fontId="2"/>
  </si>
  <si>
    <t>フェアリー感ある</t>
    <rPh sb="5" eb="6">
      <t>カン</t>
    </rPh>
    <phoneticPr fontId="2"/>
  </si>
  <si>
    <t>ふみふみ</t>
    <phoneticPr fontId="2"/>
  </si>
  <si>
    <t>金銀のミカンを連想して</t>
    <rPh sb="0" eb="2">
      <t>キンギン</t>
    </rPh>
    <rPh sb="7" eb="9">
      <t>レンソウ</t>
    </rPh>
    <phoneticPr fontId="2"/>
  </si>
  <si>
    <t>ワスピネーター</t>
    <phoneticPr fontId="2"/>
  </si>
  <si>
    <t>伊東餅太郎</t>
    <rPh sb="0" eb="2">
      <t>イトウ</t>
    </rPh>
    <rPh sb="2" eb="5">
      <t>モチタロウ</t>
    </rPh>
    <phoneticPr fontId="2"/>
  </si>
  <si>
    <t>めいそ</t>
    <phoneticPr fontId="2"/>
  </si>
  <si>
    <t>ミミッキュひたすら出してきそう</t>
    <rPh sb="9" eb="10">
      <t>ダ</t>
    </rPh>
    <phoneticPr fontId="2"/>
  </si>
  <si>
    <t>Yu</t>
    <phoneticPr fontId="2"/>
  </si>
  <si>
    <t>狂人様</t>
    <rPh sb="0" eb="2">
      <t>キョウジン</t>
    </rPh>
    <rPh sb="2" eb="3">
      <t>サマ</t>
    </rPh>
    <phoneticPr fontId="2"/>
  </si>
  <si>
    <t>最初の3匹（の内1匹）だけ使ってそう</t>
    <rPh sb="0" eb="2">
      <t>サイショ</t>
    </rPh>
    <rPh sb="4" eb="5">
      <t>ヒキ</t>
    </rPh>
    <rPh sb="7" eb="8">
      <t>ウチ</t>
    </rPh>
    <rPh sb="9" eb="10">
      <t>ヒキ</t>
    </rPh>
    <rPh sb="13" eb="14">
      <t>ツカ</t>
    </rPh>
    <phoneticPr fontId="2"/>
  </si>
  <si>
    <t>くま</t>
    <phoneticPr fontId="2"/>
  </si>
  <si>
    <t>マリルリ</t>
  </si>
  <si>
    <t>マリルリ</t>
    <phoneticPr fontId="2"/>
  </si>
  <si>
    <t>ライチュウ</t>
  </si>
  <si>
    <t>ライチュウ</t>
    <phoneticPr fontId="2"/>
  </si>
  <si>
    <t>ちょむ</t>
    <phoneticPr fontId="2"/>
  </si>
  <si>
    <t>どのトレーナーの？</t>
    <phoneticPr fontId="2"/>
  </si>
  <si>
    <t>ブニャット</t>
  </si>
  <si>
    <t>カイオーガ</t>
  </si>
  <si>
    <t>ムックル</t>
  </si>
  <si>
    <t>ゴニョニョ</t>
  </si>
  <si>
    <t>ドーブル</t>
  </si>
  <si>
    <t>サンドパン</t>
  </si>
  <si>
    <t>ザングース</t>
  </si>
  <si>
    <t>マラカッチ</t>
  </si>
  <si>
    <t>ムシャーナ</t>
  </si>
  <si>
    <t>パッチール</t>
  </si>
  <si>
    <t>ニューラ</t>
  </si>
  <si>
    <t>モルペコ</t>
  </si>
  <si>
    <t>クヌギダマ</t>
  </si>
  <si>
    <t>クルミル</t>
  </si>
  <si>
    <t>アズマオウ</t>
  </si>
  <si>
    <t>ナマズン</t>
  </si>
  <si>
    <t>カラサリス</t>
  </si>
  <si>
    <t>アルセウス</t>
  </si>
  <si>
    <t>ビーダル</t>
  </si>
  <si>
    <t>ギルガルド</t>
  </si>
  <si>
    <t>アローラゴローン</t>
  </si>
  <si>
    <t>ニョロゾ</t>
  </si>
  <si>
    <t>ブーバー</t>
  </si>
  <si>
    <t>ストライク</t>
  </si>
  <si>
    <t>ムチュール</t>
  </si>
  <si>
    <t>ギラティナ</t>
  </si>
  <si>
    <t>ドータクン</t>
  </si>
  <si>
    <t>ハバタクカミ</t>
  </si>
  <si>
    <t>ひこう</t>
    <phoneticPr fontId="2"/>
  </si>
  <si>
    <t>じめん</t>
    <phoneticPr fontId="2"/>
  </si>
  <si>
    <t>こおり</t>
    <phoneticPr fontId="2"/>
  </si>
  <si>
    <t>むし</t>
    <phoneticPr fontId="2"/>
  </si>
  <si>
    <t>いわ</t>
    <phoneticPr fontId="2"/>
  </si>
  <si>
    <t>ほのお</t>
    <phoneticPr fontId="2"/>
  </si>
  <si>
    <t>ドラゴン</t>
    <phoneticPr fontId="2"/>
  </si>
  <si>
    <t>かくとう</t>
    <phoneticPr fontId="2"/>
  </si>
  <si>
    <t>アセロラ</t>
    <phoneticPr fontId="2"/>
  </si>
  <si>
    <t>グリーン、アユミ</t>
    <phoneticPr fontId="2"/>
  </si>
  <si>
    <t>オニオン、キクコ、プルメリ</t>
    <phoneticPr fontId="2"/>
  </si>
  <si>
    <t>ミツル、カルネ</t>
    <phoneticPr fontId="2"/>
  </si>
  <si>
    <t>ワタル</t>
    <phoneticPr fontId="2"/>
  </si>
  <si>
    <t>リーリエ</t>
    <phoneticPr fontId="2"/>
  </si>
  <si>
    <t>カスミ、ウォロ</t>
    <phoneticPr fontId="2"/>
  </si>
  <si>
    <t>カリン</t>
    <phoneticPr fontId="2"/>
  </si>
  <si>
    <t>ボタン</t>
    <phoneticPr fontId="2"/>
  </si>
  <si>
    <t>モミ</t>
    <phoneticPr fontId="2"/>
  </si>
  <si>
    <t>レッド</t>
    <phoneticPr fontId="2"/>
  </si>
  <si>
    <t>ノボリ、シキミ</t>
    <phoneticPr fontId="2"/>
  </si>
  <si>
    <t>ヒガナ</t>
    <phoneticPr fontId="2"/>
  </si>
  <si>
    <t>ミカン</t>
    <phoneticPr fontId="2"/>
  </si>
  <si>
    <t>シロナ</t>
    <phoneticPr fontId="2"/>
  </si>
  <si>
    <t>レッド、ダンデ</t>
    <phoneticPr fontId="2"/>
  </si>
  <si>
    <t>ポピー、ミカン</t>
    <phoneticPr fontId="2"/>
  </si>
  <si>
    <t>ビワ</t>
    <phoneticPr fontId="2"/>
  </si>
  <si>
    <t>マリィ</t>
    <phoneticPr fontId="2"/>
  </si>
  <si>
    <t>ポピー</t>
    <phoneticPr fontId="2"/>
  </si>
  <si>
    <t>サカキ</t>
    <phoneticPr fontId="2"/>
  </si>
  <si>
    <t>サンゴ</t>
    <phoneticPr fontId="2"/>
  </si>
  <si>
    <t>その意見は</t>
    <rPh sb="2" eb="4">
      <t>イケン</t>
    </rPh>
    <phoneticPr fontId="2"/>
  </si>
  <si>
    <t>少数派</t>
  </si>
  <si>
    <t>多数派</t>
  </si>
  <si>
    <t>印象集計</t>
    <rPh sb="0" eb="2">
      <t>インショウ</t>
    </rPh>
    <rPh sb="2" eb="4">
      <t>シュウケイ</t>
    </rPh>
    <phoneticPr fontId="2"/>
  </si>
  <si>
    <t>印象の多数派VS少数派</t>
    <rPh sb="0" eb="2">
      <t>インショウ</t>
    </rPh>
    <rPh sb="3" eb="5">
      <t>タスウ</t>
    </rPh>
    <rPh sb="5" eb="6">
      <t>ハ</t>
    </rPh>
    <rPh sb="8" eb="11">
      <t>ショウスウハ</t>
    </rPh>
    <phoneticPr fontId="2"/>
  </si>
  <si>
    <t>※場合によっては数式の中の行番号を更新する必要があります</t>
    <rPh sb="1" eb="3">
      <t>バアイ</t>
    </rPh>
    <rPh sb="8" eb="10">
      <t>スウシキ</t>
    </rPh>
    <rPh sb="11" eb="12">
      <t>ナカ</t>
    </rPh>
    <rPh sb="13" eb="16">
      <t>ギョウバンゴウ</t>
    </rPh>
    <rPh sb="17" eb="19">
      <t>コウシン</t>
    </rPh>
    <rPh sb="21" eb="23">
      <t>ヒツヨウ</t>
    </rPh>
    <phoneticPr fontId="2"/>
  </si>
  <si>
    <t>さく</t>
    <phoneticPr fontId="2"/>
  </si>
  <si>
    <t>身代わりと守ると毒で倒してきそう</t>
    <rPh sb="0" eb="2">
      <t>ミガ</t>
    </rPh>
    <rPh sb="5" eb="6">
      <t>マモ</t>
    </rPh>
    <rPh sb="8" eb="9">
      <t>ドク</t>
    </rPh>
    <rPh sb="10" eb="11">
      <t>タオ</t>
    </rPh>
    <phoneticPr fontId="2"/>
  </si>
  <si>
    <t>りゅうくん</t>
    <phoneticPr fontId="2"/>
  </si>
  <si>
    <t>真面目にプリン</t>
    <rPh sb="0" eb="3">
      <t>マジメ</t>
    </rPh>
    <phoneticPr fontId="2"/>
  </si>
  <si>
    <t>yosshi</t>
    <phoneticPr fontId="2"/>
  </si>
  <si>
    <t>ワシボン</t>
  </si>
  <si>
    <t>ワシボン</t>
    <phoneticPr fontId="2"/>
  </si>
  <si>
    <t>チラーミィ</t>
  </si>
  <si>
    <t>チラーミィ</t>
    <phoneticPr fontId="2"/>
  </si>
  <si>
    <t>色的に</t>
    <rPh sb="0" eb="1">
      <t>イロ</t>
    </rPh>
    <rPh sb="1" eb="2">
      <t>テキ</t>
    </rPh>
    <phoneticPr fontId="2"/>
  </si>
  <si>
    <t>天ゃりーたまゅたまゅ</t>
    <rPh sb="0" eb="1">
      <t>テン</t>
    </rPh>
    <phoneticPr fontId="2"/>
  </si>
  <si>
    <t>ジーランス</t>
  </si>
  <si>
    <t>ジーランス</t>
    <phoneticPr fontId="2"/>
  </si>
  <si>
    <t>コイキング</t>
  </si>
  <si>
    <t>コイキング</t>
    <phoneticPr fontId="2"/>
  </si>
  <si>
    <t>ふしぎなあめでカンストしたコイキングに「がいあく」ってつけてそう</t>
    <phoneticPr fontId="2"/>
  </si>
  <si>
    <t>かむろむろ</t>
    <phoneticPr fontId="2"/>
  </si>
  <si>
    <t>あどみん</t>
    <phoneticPr fontId="2"/>
  </si>
  <si>
    <t>ナットレイ</t>
  </si>
  <si>
    <t>ナットレイ</t>
    <phoneticPr fontId="2"/>
  </si>
  <si>
    <t>ナットレイにゴツゴツメット持たせてそう</t>
    <rPh sb="13" eb="14">
      <t>モ</t>
    </rPh>
    <phoneticPr fontId="2"/>
  </si>
  <si>
    <t>ダイノーズ</t>
  </si>
  <si>
    <t>ダイノーズ</t>
    <phoneticPr fontId="2"/>
  </si>
  <si>
    <t>楓</t>
    <rPh sb="0" eb="1">
      <t>カエデ</t>
    </rPh>
    <phoneticPr fontId="2"/>
  </si>
  <si>
    <t>怜</t>
    <rPh sb="0" eb="1">
      <t>レイ</t>
    </rPh>
    <phoneticPr fontId="2"/>
  </si>
  <si>
    <t>柚木司</t>
    <rPh sb="0" eb="2">
      <t>ユノキ</t>
    </rPh>
    <rPh sb="2" eb="3">
      <t>ツカサ</t>
    </rPh>
    <phoneticPr fontId="2"/>
  </si>
  <si>
    <t>なっとう</t>
    <phoneticPr fontId="2"/>
  </si>
  <si>
    <t>にゃー</t>
    <phoneticPr fontId="2"/>
  </si>
  <si>
    <t>めいゆー</t>
    <phoneticPr fontId="2"/>
  </si>
  <si>
    <t>ぎんちゃん</t>
    <phoneticPr fontId="2"/>
  </si>
  <si>
    <t>タブンネ使ってそうだな　って思ってたら、本編で使ってたﾊﾊﾊﾊ</t>
    <rPh sb="4" eb="5">
      <t>ツカ</t>
    </rPh>
    <rPh sb="14" eb="15">
      <t>オモ</t>
    </rPh>
    <rPh sb="20" eb="22">
      <t>ホンペン</t>
    </rPh>
    <rPh sb="23" eb="24">
      <t>ツカ</t>
    </rPh>
    <phoneticPr fontId="2"/>
  </si>
  <si>
    <t>ユウ</t>
    <phoneticPr fontId="2"/>
  </si>
  <si>
    <t>コア・ラ</t>
    <phoneticPr fontId="2"/>
  </si>
  <si>
    <t>カメックス</t>
  </si>
  <si>
    <t>カメックス</t>
    <phoneticPr fontId="2"/>
  </si>
  <si>
    <t>女の子向け</t>
  </si>
  <si>
    <t>男の子向け</t>
  </si>
  <si>
    <t>ネタ枠</t>
  </si>
  <si>
    <t>個数 / ポケモン</t>
  </si>
  <si>
    <t>ジェンダー集計（ポケモン種類数）</t>
    <rPh sb="5" eb="7">
      <t>シュウケイ</t>
    </rPh>
    <rPh sb="12" eb="15">
      <t>シュルイスウ</t>
    </rPh>
    <phoneticPr fontId="2"/>
  </si>
  <si>
    <t>ジェンダー集計（票数）</t>
    <rPh sb="5" eb="7">
      <t>シュウケイ</t>
    </rPh>
    <rPh sb="8" eb="10">
      <t>ヒョウスウ</t>
    </rPh>
    <phoneticPr fontId="2"/>
  </si>
  <si>
    <t>一人で複数あげている</t>
    <rPh sb="0" eb="2">
      <t>ヒトリ</t>
    </rPh>
    <rPh sb="3" eb="5">
      <t>フクスウ</t>
    </rPh>
    <phoneticPr fontId="2"/>
  </si>
  <si>
    <t>個数 / 一人で複数あげている</t>
  </si>
  <si>
    <t>一人で複数あげている人があげた回数</t>
    <rPh sb="10" eb="11">
      <t>ヒト</t>
    </rPh>
    <rPh sb="15" eb="17">
      <t>カイスウ</t>
    </rPh>
    <phoneticPr fontId="2"/>
  </si>
  <si>
    <t>合計 / 一人で複数あげている人があげた回数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</si>
</sst>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2" borderId="2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0" fillId="3" borderId="2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2">
    <cellStyle name="標準" xfId="0" builtinId="0"/>
    <cellStyle name="標準 2" xfId="1" xr:uid="{DF1FABF4-259A-4343-A40D-093C3B2529B0}"/>
  </cellStyles>
  <dxfs count="64">
    <dxf>
      <numFmt numFmtId="0" formatCode="General"/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0" formatCode="General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[20250126グラビティのある投稿の集計.xlsx]印象集計!ピボットテーブル1</c:name>
    <c:fmtId val="0"/>
  </c:pivotSource>
  <c:chart>
    <c:title>
      <c:layout>
        <c:manualLayout>
          <c:xMode val="edge"/>
          <c:yMode val="edge"/>
          <c:x val="0.52092050209205032"/>
          <c:y val="0.100831146106736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99F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5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印象集計!$B$19</c:f>
              <c:strCache>
                <c:ptCount val="1"/>
                <c:pt idx="0">
                  <c:v>集計</c:v>
                </c:pt>
              </c:strCache>
            </c:strRef>
          </c:tx>
          <c:dPt>
            <c:idx val="0"/>
            <c:bubble3D val="0"/>
            <c:spPr>
              <a:solidFill>
                <a:srgbClr val="FF99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D74-40D5-9969-0683293895FF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D74-40D5-9969-0683293895FF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D74-40D5-9969-0683293895FF}"/>
              </c:ext>
            </c:extLst>
          </c:dPt>
          <c:dPt>
            <c:idx val="3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D74-40D5-9969-0683293895FF}"/>
              </c:ext>
            </c:extLst>
          </c:dPt>
          <c:dPt>
            <c:idx val="4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D74-40D5-9969-0683293895FF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D74-40D5-9969-0683293895FF}"/>
              </c:ext>
            </c:extLst>
          </c:dPt>
          <c:dPt>
            <c:idx val="6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D74-40D5-9969-0683293895FF}"/>
              </c:ext>
            </c:extLst>
          </c:dPt>
          <c:dPt>
            <c:idx val="7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D74-40D5-9969-0683293895F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D74-40D5-9969-0683293895FF}"/>
              </c:ext>
            </c:extLst>
          </c:dPt>
          <c:cat>
            <c:strRef>
              <c:f>印象集計!$A$20:$A$29</c:f>
              <c:strCache>
                <c:ptCount val="9"/>
                <c:pt idx="0">
                  <c:v>かわいい</c:v>
                </c:pt>
                <c:pt idx="1">
                  <c:v>モンスター</c:v>
                </c:pt>
                <c:pt idx="2">
                  <c:v>コミカル</c:v>
                </c:pt>
                <c:pt idx="3">
                  <c:v>強い</c:v>
                </c:pt>
                <c:pt idx="4">
                  <c:v>いかつい</c:v>
                </c:pt>
                <c:pt idx="5">
                  <c:v>かっこいい</c:v>
                </c:pt>
                <c:pt idx="6">
                  <c:v>きもい</c:v>
                </c:pt>
                <c:pt idx="7">
                  <c:v>スプーキー</c:v>
                </c:pt>
                <c:pt idx="8">
                  <c:v>テクニカル</c:v>
                </c:pt>
              </c:strCache>
            </c:strRef>
          </c:cat>
          <c:val>
            <c:numRef>
              <c:f>印象集計!$B$20:$B$29</c:f>
              <c:numCache>
                <c:formatCode>General</c:formatCode>
                <c:ptCount val="9"/>
                <c:pt idx="0">
                  <c:v>166</c:v>
                </c:pt>
                <c:pt idx="1">
                  <c:v>46</c:v>
                </c:pt>
                <c:pt idx="2">
                  <c:v>42</c:v>
                </c:pt>
                <c:pt idx="3">
                  <c:v>25</c:v>
                </c:pt>
                <c:pt idx="4">
                  <c:v>21</c:v>
                </c:pt>
                <c:pt idx="5">
                  <c:v>19</c:v>
                </c:pt>
                <c:pt idx="6">
                  <c:v>12</c:v>
                </c:pt>
                <c:pt idx="7">
                  <c:v>11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1F-4D47-BE25-3B4432A51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[20250126グラビティのある投稿の集計.xlsx]印象集計!ピボットテーブル3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99F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5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印象集計!$G$19:$G$20</c:f>
              <c:strCache>
                <c:ptCount val="1"/>
                <c:pt idx="0">
                  <c:v>多数派</c:v>
                </c:pt>
              </c:strCache>
            </c:strRef>
          </c:tx>
          <c:dPt>
            <c:idx val="0"/>
            <c:bubble3D val="0"/>
            <c:spPr>
              <a:solidFill>
                <a:srgbClr val="FF99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FAF-4586-8062-39ECA6A69A29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AF-4586-8062-39ECA6A69A29}"/>
              </c:ext>
            </c:extLst>
          </c:dPt>
          <c:dPt>
            <c:idx val="2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6FAF-4586-8062-39ECA6A69A29}"/>
              </c:ext>
            </c:extLst>
          </c:dPt>
          <c:dPt>
            <c:idx val="3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FAF-4586-8062-39ECA6A69A29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FAF-4586-8062-39ECA6A69A29}"/>
              </c:ext>
            </c:extLst>
          </c:dPt>
          <c:dPt>
            <c:idx val="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AF-4586-8062-39ECA6A69A29}"/>
              </c:ext>
            </c:extLst>
          </c:dPt>
          <c:cat>
            <c:strRef>
              <c:f>印象集計!$F$21:$F$27</c:f>
              <c:strCache>
                <c:ptCount val="6"/>
                <c:pt idx="0">
                  <c:v>かわいい</c:v>
                </c:pt>
                <c:pt idx="1">
                  <c:v>モンスター</c:v>
                </c:pt>
                <c:pt idx="2">
                  <c:v>強い</c:v>
                </c:pt>
                <c:pt idx="3">
                  <c:v>スプーキー</c:v>
                </c:pt>
                <c:pt idx="4">
                  <c:v>かっこいい</c:v>
                </c:pt>
                <c:pt idx="5">
                  <c:v>コミカル</c:v>
                </c:pt>
              </c:strCache>
            </c:strRef>
          </c:cat>
          <c:val>
            <c:numRef>
              <c:f>印象集計!$G$21:$G$27</c:f>
              <c:numCache>
                <c:formatCode>General</c:formatCode>
                <c:ptCount val="6"/>
                <c:pt idx="0">
                  <c:v>98</c:v>
                </c:pt>
                <c:pt idx="1">
                  <c:v>10</c:v>
                </c:pt>
                <c:pt idx="2">
                  <c:v>10</c:v>
                </c:pt>
                <c:pt idx="3">
                  <c:v>7</c:v>
                </c:pt>
                <c:pt idx="4">
                  <c:v>7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AF-4586-8062-39ECA6A69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[20250126グラビティのある投稿の集計.xlsx]印象集計!ピボットテーブル4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99F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印象集計!$M$19:$M$20</c:f>
              <c:strCache>
                <c:ptCount val="1"/>
                <c:pt idx="0">
                  <c:v>少数派</c:v>
                </c:pt>
              </c:strCache>
            </c:strRef>
          </c:tx>
          <c:dPt>
            <c:idx val="0"/>
            <c:bubble3D val="0"/>
            <c:spPr>
              <a:solidFill>
                <a:srgbClr val="FF99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423-45E4-AAE3-13D8B7C71E3A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423-45E4-AAE3-13D8B7C71E3A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423-45E4-AAE3-13D8B7C71E3A}"/>
              </c:ext>
            </c:extLst>
          </c:dPt>
          <c:dPt>
            <c:idx val="3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6423-45E4-AAE3-13D8B7C71E3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31-4514-B594-0B4442832DA1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423-45E4-AAE3-13D8B7C71E3A}"/>
              </c:ext>
            </c:extLst>
          </c:dPt>
          <c:dPt>
            <c:idx val="6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6423-45E4-AAE3-13D8B7C71E3A}"/>
              </c:ext>
            </c:extLst>
          </c:dPt>
          <c:dPt>
            <c:idx val="7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6423-45E4-AAE3-13D8B7C71E3A}"/>
              </c:ext>
            </c:extLst>
          </c:dPt>
          <c:dPt>
            <c:idx val="8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423-45E4-AAE3-13D8B7C71E3A}"/>
              </c:ext>
            </c:extLst>
          </c:dPt>
          <c:cat>
            <c:strRef>
              <c:f>印象集計!$L$21:$L$30</c:f>
              <c:strCache>
                <c:ptCount val="9"/>
                <c:pt idx="0">
                  <c:v>かわいい</c:v>
                </c:pt>
                <c:pt idx="1">
                  <c:v>モンスター</c:v>
                </c:pt>
                <c:pt idx="2">
                  <c:v>コミカル</c:v>
                </c:pt>
                <c:pt idx="3">
                  <c:v>いかつい</c:v>
                </c:pt>
                <c:pt idx="4">
                  <c:v>強い</c:v>
                </c:pt>
                <c:pt idx="5">
                  <c:v>かっこいい</c:v>
                </c:pt>
                <c:pt idx="6">
                  <c:v>きもい</c:v>
                </c:pt>
                <c:pt idx="7">
                  <c:v>テクニカル</c:v>
                </c:pt>
                <c:pt idx="8">
                  <c:v>スプーキー</c:v>
                </c:pt>
              </c:strCache>
            </c:strRef>
          </c:cat>
          <c:val>
            <c:numRef>
              <c:f>印象集計!$M$21:$M$30</c:f>
              <c:numCache>
                <c:formatCode>General</c:formatCode>
                <c:ptCount val="9"/>
                <c:pt idx="0">
                  <c:v>68</c:v>
                </c:pt>
                <c:pt idx="1">
                  <c:v>36</c:v>
                </c:pt>
                <c:pt idx="2">
                  <c:v>36</c:v>
                </c:pt>
                <c:pt idx="3">
                  <c:v>21</c:v>
                </c:pt>
                <c:pt idx="4">
                  <c:v>15</c:v>
                </c:pt>
                <c:pt idx="5">
                  <c:v>12</c:v>
                </c:pt>
                <c:pt idx="6">
                  <c:v>12</c:v>
                </c:pt>
                <c:pt idx="7">
                  <c:v>8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23-45E4-AAE3-13D8B7C71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タイプカウント!$C$2</c:f>
              <c:strCache>
                <c:ptCount val="1"/>
                <c:pt idx="0">
                  <c:v>１と２のあわせた出現回数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7E-421C-A25B-3CC06E7E0B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7E-421C-A25B-3CC06E7E0BE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87E-421C-A25B-3CC06E7E0BE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87E-421C-A25B-3CC06E7E0BE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87E-421C-A25B-3CC06E7E0BE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87E-421C-A25B-3CC06E7E0BE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87E-421C-A25B-3CC06E7E0BE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87E-421C-A25B-3CC06E7E0BE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87E-421C-A25B-3CC06E7E0BE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87E-421C-A25B-3CC06E7E0BE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87E-421C-A25B-3CC06E7E0BE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87E-421C-A25B-3CC06E7E0BE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87E-421C-A25B-3CC06E7E0BE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87E-421C-A25B-3CC06E7E0BE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87E-421C-A25B-3CC06E7E0BE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287E-421C-A25B-3CC06E7E0BE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287E-421C-A25B-3CC06E7E0BE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287E-421C-A25B-3CC06E7E0BE1}"/>
              </c:ext>
            </c:extLst>
          </c:dPt>
          <c:cat>
            <c:strRef>
              <c:f>タイプカウント!$B$3:$B$20</c:f>
              <c:strCache>
                <c:ptCount val="18"/>
                <c:pt idx="0">
                  <c:v>ノーマル</c:v>
                </c:pt>
                <c:pt idx="1">
                  <c:v>フェアリー</c:v>
                </c:pt>
                <c:pt idx="2">
                  <c:v>エスパー</c:v>
                </c:pt>
                <c:pt idx="3">
                  <c:v>ゴースト</c:v>
                </c:pt>
                <c:pt idx="4">
                  <c:v>みず</c:v>
                </c:pt>
                <c:pt idx="5">
                  <c:v>ひこう</c:v>
                </c:pt>
                <c:pt idx="6">
                  <c:v>くさ</c:v>
                </c:pt>
                <c:pt idx="7">
                  <c:v>どく</c:v>
                </c:pt>
                <c:pt idx="8">
                  <c:v>でんき</c:v>
                </c:pt>
                <c:pt idx="9">
                  <c:v>はがね</c:v>
                </c:pt>
                <c:pt idx="10">
                  <c:v>じめん</c:v>
                </c:pt>
                <c:pt idx="11">
                  <c:v>かくとう</c:v>
                </c:pt>
                <c:pt idx="12">
                  <c:v>ドラゴン</c:v>
                </c:pt>
                <c:pt idx="13">
                  <c:v>あく</c:v>
                </c:pt>
                <c:pt idx="14">
                  <c:v>いわ</c:v>
                </c:pt>
                <c:pt idx="15">
                  <c:v>ほのお</c:v>
                </c:pt>
                <c:pt idx="16">
                  <c:v>むし</c:v>
                </c:pt>
                <c:pt idx="17">
                  <c:v>こおり</c:v>
                </c:pt>
              </c:strCache>
            </c:strRef>
          </c:cat>
          <c:val>
            <c:numRef>
              <c:f>タイプカウント!$C$3:$C$20</c:f>
              <c:numCache>
                <c:formatCode>General</c:formatCode>
                <c:ptCount val="18"/>
                <c:pt idx="0">
                  <c:v>80</c:v>
                </c:pt>
                <c:pt idx="1">
                  <c:v>76</c:v>
                </c:pt>
                <c:pt idx="2">
                  <c:v>43</c:v>
                </c:pt>
                <c:pt idx="3">
                  <c:v>38</c:v>
                </c:pt>
                <c:pt idx="4">
                  <c:v>35</c:v>
                </c:pt>
                <c:pt idx="5">
                  <c:v>31</c:v>
                </c:pt>
                <c:pt idx="6">
                  <c:v>30</c:v>
                </c:pt>
                <c:pt idx="7">
                  <c:v>29</c:v>
                </c:pt>
                <c:pt idx="8">
                  <c:v>26</c:v>
                </c:pt>
                <c:pt idx="9">
                  <c:v>25</c:v>
                </c:pt>
                <c:pt idx="10">
                  <c:v>19</c:v>
                </c:pt>
                <c:pt idx="11">
                  <c:v>15</c:v>
                </c:pt>
                <c:pt idx="12">
                  <c:v>14</c:v>
                </c:pt>
                <c:pt idx="13">
                  <c:v>12</c:v>
                </c:pt>
                <c:pt idx="14">
                  <c:v>12</c:v>
                </c:pt>
                <c:pt idx="15">
                  <c:v>10</c:v>
                </c:pt>
                <c:pt idx="16">
                  <c:v>9</c:v>
                </c:pt>
                <c:pt idx="1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9B-48BE-8AE0-6F33ACB7B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[20250126グラビティのある投稿の集計.xlsx]複数あげた人の意見!ピボットテーブル2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複数あげた人の意見!$B$1</c:f>
              <c:strCache>
                <c:ptCount val="1"/>
                <c:pt idx="0">
                  <c:v>集計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88-4E1B-ABD1-5CEF891531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88-4E1B-ABD1-5CEF891531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88-4E1B-ABD1-5CEF8915315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88-4E1B-ABD1-5CEF8915315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B88-4E1B-ABD1-5CEF8915315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B88-4E1B-ABD1-5CEF8915315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B88-4E1B-ABD1-5CEF8915315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B88-4E1B-ABD1-5CEF8915315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B88-4E1B-ABD1-5CEF8915315B}"/>
              </c:ext>
            </c:extLst>
          </c:dPt>
          <c:cat>
            <c:strRef>
              <c:f>複数あげた人の意見!$A$2:$A$11</c:f>
              <c:strCache>
                <c:ptCount val="9"/>
                <c:pt idx="0">
                  <c:v>かわいい</c:v>
                </c:pt>
                <c:pt idx="1">
                  <c:v>モンスター</c:v>
                </c:pt>
                <c:pt idx="2">
                  <c:v>コミカル</c:v>
                </c:pt>
                <c:pt idx="3">
                  <c:v>かっこいい</c:v>
                </c:pt>
                <c:pt idx="4">
                  <c:v>いかつい</c:v>
                </c:pt>
                <c:pt idx="5">
                  <c:v>強い</c:v>
                </c:pt>
                <c:pt idx="6">
                  <c:v>テクニカル</c:v>
                </c:pt>
                <c:pt idx="7">
                  <c:v>スプーキー</c:v>
                </c:pt>
                <c:pt idx="8">
                  <c:v>きもい</c:v>
                </c:pt>
              </c:strCache>
            </c:strRef>
          </c:cat>
          <c:val>
            <c:numRef>
              <c:f>複数あげた人の意見!$B$2:$B$11</c:f>
              <c:numCache>
                <c:formatCode>General</c:formatCode>
                <c:ptCount val="9"/>
                <c:pt idx="0">
                  <c:v>84</c:v>
                </c:pt>
                <c:pt idx="1">
                  <c:v>19</c:v>
                </c:pt>
                <c:pt idx="2">
                  <c:v>17</c:v>
                </c:pt>
                <c:pt idx="3">
                  <c:v>15</c:v>
                </c:pt>
                <c:pt idx="4">
                  <c:v>14</c:v>
                </c:pt>
                <c:pt idx="5">
                  <c:v>11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20-4EBB-80FE-786858AC5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15240</xdr:colOff>
      <xdr:row>12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83791EC-16A3-3205-1E23-81869997B6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</xdr:colOff>
      <xdr:row>0</xdr:row>
      <xdr:rowOff>0</xdr:rowOff>
    </xdr:from>
    <xdr:to>
      <xdr:col>10</xdr:col>
      <xdr:colOff>236220</xdr:colOff>
      <xdr:row>12</xdr:row>
      <xdr:rowOff>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60ABF69F-E16A-F54F-B662-EFD11F62EF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240030</xdr:colOff>
      <xdr:row>0</xdr:row>
      <xdr:rowOff>0</xdr:rowOff>
    </xdr:from>
    <xdr:to>
      <xdr:col>16</xdr:col>
      <xdr:colOff>259080</xdr:colOff>
      <xdr:row>12</xdr:row>
      <xdr:rowOff>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93B822F8-808E-6984-B8A4-7342215DBA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544830</xdr:colOff>
      <xdr:row>4</xdr:row>
      <xdr:rowOff>38100</xdr:rowOff>
    </xdr:from>
    <xdr:to>
      <xdr:col>12</xdr:col>
      <xdr:colOff>422910</xdr:colOff>
      <xdr:row>16</xdr:row>
      <xdr:rowOff>38100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90F1B63-0544-77C7-ED49-4C05EB2BA1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727710</xdr:colOff>
      <xdr:row>0</xdr:row>
      <xdr:rowOff>312420</xdr:rowOff>
    </xdr:from>
    <xdr:to>
      <xdr:col>9</xdr:col>
      <xdr:colOff>453390</xdr:colOff>
      <xdr:row>12</xdr:row>
      <xdr:rowOff>83820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1B7321F-20E0-0552-D298-BF314FBE2E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紀伊春香" refreshedDate="45705.848328819447" createdVersion="8" refreshedVersion="8" minRefreshableVersion="3" recordCount="374" xr:uid="{1E7BD92E-9164-4FE9-8BD4-689FE119A5AC}">
  <cacheSource type="worksheet">
    <worksheetSource name="テーブル1"/>
  </cacheSource>
  <cacheFields count="7">
    <cacheField name="番号" numFmtId="0">
      <sharedItems containsSemiMixedTypes="0" containsString="0" containsNumber="1" containsInteger="1" minValue="1" maxValue="374"/>
    </cacheField>
    <cacheField name="発言者" numFmtId="0">
      <sharedItems/>
    </cacheField>
    <cacheField name="内容" numFmtId="0">
      <sharedItems containsBlank="1" count="205">
        <s v="ランクルス"/>
        <s v="シャンデラ"/>
        <s v="ルカリオ"/>
        <s v="ミミッキュ"/>
        <s v="ボーマンダ"/>
        <s v="ゲッコウガ"/>
        <s v="リザードン"/>
        <s v="グラードン"/>
        <s v="スターミー"/>
        <s v="トゲピー"/>
        <s v="ラッキー"/>
        <s v="ポリゴン"/>
        <s v="バンギラス"/>
        <s v="コダック"/>
        <s v="ゴローニャ"/>
        <s v="ゲンガー"/>
        <s v="プラスル"/>
        <s v="マイナン"/>
        <s v="プクリン"/>
        <s v="キチキギス"/>
        <s v="オクタン"/>
        <s v="オトスパス"/>
        <s v="ドククラゲ"/>
        <s v="エンペルト"/>
        <s v="ブラッキー"/>
        <s v="ジバコイル"/>
        <s v="カイリュー"/>
        <s v="エーフィ"/>
        <s v="ルージュラ"/>
        <s v="ニョロトノ"/>
        <s v="ドオー"/>
        <s v="ポリゴン2"/>
        <s v="ポッポ"/>
        <s v="マダツボミ"/>
        <s v="ウツドン"/>
        <s v="ピカチュウ"/>
        <s v="バタフリー"/>
        <s v="カポエラー"/>
        <m/>
        <s v="プリン"/>
        <s v="ピッピ"/>
        <s v="サニーゴ"/>
        <s v="ジラーチ"/>
        <s v="ゴンベ"/>
        <s v="セレビィ"/>
        <s v="ピクシー"/>
        <s v="ミミロップ"/>
        <s v="タブンネ"/>
        <s v="ヒメグマ"/>
        <s v="オオタチ"/>
        <s v="マホイップ"/>
        <s v="コイル"/>
        <s v="フワライド"/>
        <s v="ベトベトン"/>
        <s v="ムウマ"/>
        <s v="ハガネール"/>
        <s v="デデンネ"/>
        <s v="キャタピー"/>
        <s v="フリーザー"/>
        <s v="トサキント"/>
        <s v="カビゴン"/>
        <s v="サーナイト"/>
        <s v="ミュウツー"/>
        <s v="ミミロル"/>
        <s v="イーブイ"/>
        <s v="オニゴーリ"/>
        <s v="ギャラドス"/>
        <s v="コノヨザル"/>
        <s v="バクオング"/>
        <s v="グランブル"/>
        <s v="ニドラン♀"/>
        <s v="ナゾノクサ"/>
        <s v="パチリス"/>
        <s v="デンリュウ"/>
        <s v="ピジョット"/>
        <s v="ムンナ"/>
        <s v="パフュートン"/>
        <s v="スボミー"/>
        <s v="ガブリアス"/>
        <s v="オーロンゲ"/>
        <s v="マタドガス"/>
        <s v="ゴチルゼル"/>
        <s v="ナカヌチャン"/>
        <s v="デカヌチャン"/>
        <s v="チュリネ"/>
        <s v="ゴース"/>
        <s v="ゴースト"/>
        <s v="エネコ"/>
        <s v="ロゼリア"/>
        <s v="チコリータ"/>
        <s v="コラッタ"/>
        <s v="ドテッコツ"/>
        <s v="ガマゲロゲ"/>
        <s v="ナゲキ"/>
        <s v="クリムガン"/>
        <s v="バンバドロ"/>
        <s v="キョジオーン"/>
        <s v="ユキメノコ"/>
        <s v="ルナトーン"/>
        <s v="オーロット"/>
        <s v="ケーシィ"/>
        <s v="ハッサム"/>
        <s v="ゴリランダー"/>
        <s v="水ロトム"/>
        <s v="ユレイドル"/>
        <s v="キレイハナ"/>
        <s v="ラランテス"/>
        <s v="ワタッコ"/>
        <s v="メタグロス"/>
        <s v="ゼルネアス"/>
        <s v="ディグダ"/>
        <s v="ソーナンス"/>
        <s v="ポッチャマ"/>
        <s v="クレッフィ"/>
        <s v="ムウマージ"/>
        <s v="シャワーズ"/>
        <s v="ジュペッタ"/>
        <s v="ゴーリキー"/>
        <s v="ドレディア"/>
        <s v="ウソッキー"/>
        <s v="デオキシス"/>
        <s v="メノクラゲ"/>
        <s v="ママンボウ"/>
        <s v="シェイミ"/>
        <s v="トゲキッス"/>
        <s v="ハピナス"/>
        <s v="ニンフィア"/>
        <s v="グライオン"/>
        <s v="サケブシッポ"/>
        <s v="ヤバソチャ"/>
        <s v="コータス"/>
        <s v="チルタリス"/>
        <s v="モスノウ"/>
        <s v="キュワワー"/>
        <s v="ペリッパー"/>
        <s v="オタマロ"/>
        <s v="ミカルゲ"/>
        <s v="ノコッチ"/>
        <s v="バシャーモ"/>
        <s v="スリーパー"/>
        <s v="エレブー"/>
        <s v="ベトベター"/>
        <s v="ラフレシア"/>
        <s v="ペロッパフ"/>
        <s v="マッギョ"/>
        <s v="ワンパチ"/>
        <s v="メタモン"/>
        <s v="イルカマン"/>
        <s v="サンド"/>
        <s v="ベロリンガ"/>
        <s v="マルマイン"/>
        <s v="ラッタ"/>
        <s v="ハクリュー"/>
        <s v="ブニャット"/>
        <s v="カイオーガ"/>
        <s v="ムックル"/>
        <s v="ゴニョニョ"/>
        <s v="ドーブル"/>
        <s v="サンドパン"/>
        <s v="ザングース"/>
        <s v="マラカッチ"/>
        <s v="ムシャーナ"/>
        <s v="パッチール"/>
        <s v="ニューラ"/>
        <s v="モルペコ"/>
        <s v="クヌギダマ"/>
        <s v="クルミル"/>
        <s v="アズマオウ"/>
        <s v="ナマズン"/>
        <s v="カラサリス"/>
        <s v="アルセウス"/>
        <s v="ビーダル"/>
        <s v="ギルガルド"/>
        <s v="アローラゴローン"/>
        <s v="ニョロゾ"/>
        <s v="ブーバー"/>
        <s v="ストライク"/>
        <s v="ムチュール"/>
        <s v="ギラティナ"/>
        <s v="ドータクン"/>
        <s v="ハバタクカミ"/>
        <s v="エルフーン"/>
        <s v="エルレイド"/>
        <s v="フーディン"/>
        <s v="ワンリキー"/>
        <s v="ウパー"/>
        <s v="マリル"/>
        <s v="トゲチック"/>
        <s v="テブリム"/>
        <s v="ランプラー"/>
        <s v="ゴチミル"/>
        <s v="キノガッサ"/>
        <s v="マグカルゴ"/>
        <s v="ゴルダック"/>
        <s v="ミツハニー"/>
        <s v="アシレーヌ"/>
        <s v="マリルリ"/>
        <s v="ライチュウ"/>
        <s v="ワシボン"/>
        <s v="チラーミィ"/>
        <s v="ジーランス"/>
        <s v="コイキング"/>
        <s v="ナットレイ"/>
        <s v="ダイノーズ"/>
        <s v="カメックス"/>
      </sharedItems>
    </cacheField>
    <cacheField name="自己レスの前か後か" numFmtId="0">
      <sharedItems count="3">
        <s v="自己レスの前"/>
        <s v="自己レス"/>
        <s v="自己レスの後"/>
      </sharedItems>
    </cacheField>
    <cacheField name="別の言及" numFmtId="0">
      <sharedItems containsBlank="1"/>
    </cacheField>
    <cacheField name="マスタに登録忘れてない？" numFmtId="0">
      <sharedItems/>
    </cacheField>
    <cacheField name="一人で複数あげている" numFmtId="0">
      <sharedItems containsBlank="1" count="45">
        <m/>
        <s v="ひいらぎ"/>
        <s v="ゆけお"/>
        <s v="水色"/>
        <s v="中性くん"/>
        <s v="奏岬"/>
        <s v="みお"/>
        <s v="ゆでん"/>
        <s v="みなつ"/>
        <s v="ゆんち"/>
        <s v="神"/>
        <s v="ちくちくりん"/>
        <s v="shingo"/>
        <s v="仮面サンチーム"/>
        <s v="ろん"/>
        <s v="前頭葉"/>
        <s v="のん"/>
        <s v="shawn"/>
        <s v="金属バット"/>
        <s v="又三郎"/>
        <s v="神楽坂"/>
        <s v="無名"/>
        <s v="ryuto"/>
        <s v="ひ。"/>
        <s v="ハムより生ハム派"/>
        <s v="カフェイン忘れじぃじ"/>
        <s v="とも"/>
        <s v="ぷれっつぇる"/>
        <s v="もーりさん"/>
        <s v="いつき"/>
        <s v="もうふちゃん"/>
        <s v="幸せ"/>
        <s v="サバ缶"/>
        <s v="深海少年"/>
        <s v="ゆきおじ"/>
        <s v="lee汰"/>
        <s v="捨て垢"/>
        <s v="佐々木"/>
        <s v="桜海桃李"/>
        <s v="クロ96"/>
        <s v="みるくぷりん"/>
        <s v="haru"/>
        <s v="くま"/>
        <s v="yosshi"/>
        <s v="にゃー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紀伊春香" refreshedDate="45705.853946990741" createdVersion="8" refreshedVersion="8" minRefreshableVersion="3" recordCount="204" xr:uid="{0893E69B-A2F7-4A93-9A4E-A92AE1A9DEF1}">
  <cacheSource type="worksheet">
    <worksheetSource name="テーブル2"/>
  </cacheSource>
  <cacheFields count="17">
    <cacheField name="ポケモン" numFmtId="0">
      <sharedItems count="204">
        <s v="ミミッキュ"/>
        <s v="プリン"/>
        <s v="カイリュー"/>
        <s v="サーナイト"/>
        <s v="ゲンガー"/>
        <s v="ラッキー"/>
        <s v="ブラッキー"/>
        <s v="ジラーチ"/>
        <s v="イーブイ"/>
        <s v="ピクシー"/>
        <s v="トゲピー"/>
        <s v="ミミロップ"/>
        <s v="ハピナス"/>
        <s v="シャンデラ"/>
        <s v="プクリン"/>
        <s v="ピッピ"/>
        <s v="ニンフィア"/>
        <s v="ナゾノクサ"/>
        <s v="カビゴン"/>
        <s v="ボーマンダ"/>
        <s v="トゲキッス"/>
        <s v="オトスパス"/>
        <s v="ドオー"/>
        <s v="コノヨザル"/>
        <s v="ルカリオ"/>
        <s v="ゴースト"/>
        <s v="ミミロル"/>
        <s v="パチリス"/>
        <s v="コラッタ"/>
        <s v="ゴチルゼル"/>
        <s v="グラードン"/>
        <s v="ポリゴン2"/>
        <s v="ポッポ"/>
        <s v="ランクルス"/>
        <s v="リザードン"/>
        <s v="ハガネール"/>
        <s v="ギャラドス"/>
        <s v="オーロンゲ"/>
        <s v="チュリネ"/>
        <s v="バクオング"/>
        <s v="エンペルト"/>
        <s v="ニョロトノ"/>
        <s v="ピカチュウ"/>
        <s v="キャタピー"/>
        <s v="デカヌチャン"/>
        <s v="キレイハナ"/>
        <s v="ジュペッタ"/>
        <s v="ゴーリキー"/>
        <s v="マッギョ"/>
        <s v="モルペコ"/>
        <s v="タブンネ"/>
        <s v="チコリータ"/>
        <s v="チルタリス"/>
        <s v="グランブル"/>
        <s v="ポリゴン"/>
        <s v="ヒメグマ"/>
        <s v="オオタチ"/>
        <s v="ゲッコウガ"/>
        <s v="プラスル"/>
        <s v="マイナン"/>
        <s v="オクタン"/>
        <s v="ドククラゲ"/>
        <s v="ジバコイル"/>
        <s v="エーフィ"/>
        <s v="マダツボミ"/>
        <s v="ウツドン"/>
        <s v="サニーゴ"/>
        <s v="ピジョット"/>
        <s v="フリーザー"/>
        <s v="トサキント"/>
        <s v="ミュウツー"/>
        <s v="オニゴーリ"/>
        <s v="ナカヌチャン"/>
        <s v="ニドラン♀"/>
        <s v="ゴース"/>
        <s v="ドテッコツ"/>
        <s v="ガマゲロゲ"/>
        <s v="ナゲキ"/>
        <s v="クリムガン"/>
        <s v="バンバドロ"/>
        <s v="キョジオーン"/>
        <s v="ユキメノコ"/>
        <s v="ルナトーン"/>
        <s v="オーロット"/>
        <s v="ハッサム"/>
        <s v="ゴリランダー"/>
        <s v="水ロトム"/>
        <s v="ラランテス"/>
        <s v="ワタッコ"/>
        <s v="ソーナンス"/>
        <s v="ポッチャマ"/>
        <s v="グライオン"/>
        <s v="ヤバソチャ"/>
        <s v="コータス"/>
        <s v="バシャーモ"/>
        <s v="ハクリュー"/>
        <s v="ペロッパフ"/>
        <s v="カイオーガ"/>
        <s v="マラカッチ"/>
        <s v="ムシャーナ"/>
        <s v="パッチール"/>
        <s v="ニューラ"/>
        <s v="クヌギダマ"/>
        <s v="クルミル"/>
        <s v="アズマオウ"/>
        <s v="ナマズン"/>
        <s v="カラサリス"/>
        <s v="アルセウス"/>
        <s v="ビーダル"/>
        <s v="アローラゴローン"/>
        <s v="ニョロゾ"/>
        <s v="ブーバー"/>
        <s v="ストライク"/>
        <s v="ムチュール"/>
        <s v="エルフーン"/>
        <s v="マリル"/>
        <s v="トゲチック"/>
        <s v="テブリム"/>
        <s v="ランプラー"/>
        <s v="ゴチミル"/>
        <s v="マリルリ"/>
        <s v="ライチュウ"/>
        <s v="ワシボン"/>
        <s v="チラーミィ"/>
        <s v="コイル"/>
        <s v="サケブシッポ"/>
        <s v="メタモン"/>
        <s v="ベロリンガ"/>
        <s v="マホイップ"/>
        <s v="エネコ"/>
        <s v="ルージュラ"/>
        <s v="コダック"/>
        <s v="ドレディア"/>
        <s v="デンリュウ"/>
        <s v="マタドガス"/>
        <s v="ロゼリア"/>
        <s v="メタグロス"/>
        <s v="ウソッキー"/>
        <s v="ワンパチ"/>
        <s v="スリーパー"/>
        <s v="ゴンベ"/>
        <s v="スターミー"/>
        <s v="バンギラス"/>
        <s v="ゴローニャ"/>
        <s v="キチキギス"/>
        <s v="バタフリー"/>
        <s v="カポエラー"/>
        <s v="セレビィ"/>
        <s v="パフュートン"/>
        <s v="フワライド"/>
        <s v="ベトベトン"/>
        <s v="ムウマ"/>
        <s v="デデンネ"/>
        <s v="ムンナ"/>
        <s v="スボミー"/>
        <s v="ガブリアス"/>
        <s v="ゼルネアス"/>
        <s v="ケーシィ"/>
        <s v="ユレイドル"/>
        <s v="ディグダ"/>
        <s v="クレッフィ"/>
        <s v="ムウマージ"/>
        <s v="シャワーズ"/>
        <s v="デオキシス"/>
        <s v="メノクラゲ"/>
        <s v="ママンボウ"/>
        <s v="シェイミ"/>
        <s v="ペリッパー"/>
        <s v="オタマロ"/>
        <s v="ミカルゲ"/>
        <s v="エレブー"/>
        <s v="ベトベター"/>
        <s v="ラフレシア"/>
        <s v="イルカマン"/>
        <s v="サンド"/>
        <s v="マルマイン"/>
        <s v="ノコッチ"/>
        <s v="ラッタ"/>
        <s v="ブニャット"/>
        <s v="ムックル"/>
        <s v="ゴニョニョ"/>
        <s v="ドーブル"/>
        <s v="サンドパン"/>
        <s v="ザングース"/>
        <s v="ギルガルド"/>
        <s v="ギラティナ"/>
        <s v="ドータクン"/>
        <s v="ハバタクカミ"/>
        <s v="エルレイド"/>
        <s v="フーディン"/>
        <s v="ワンリキー"/>
        <s v="ウパー"/>
        <s v="キノガッサ"/>
        <s v="マグカルゴ"/>
        <s v="ゴルダック"/>
        <s v="ミツハニー"/>
        <s v="アシレーヌ"/>
        <s v="ジーランス"/>
        <s v="コイキング"/>
        <s v="ナットレイ"/>
        <s v="ダイノーズ"/>
        <s v="カメックス"/>
        <s v="モスノウ"/>
        <s v="キュワワー"/>
      </sharedItems>
    </cacheField>
    <cacheField name="言われた回数" numFmtId="0">
      <sharedItems containsSemiMixedTypes="0" containsString="0" containsNumber="1" containsInteger="1" minValue="0" maxValue="10"/>
    </cacheField>
    <cacheField name="うち、自己レス前" numFmtId="0">
      <sharedItems containsSemiMixedTypes="0" containsString="0" containsNumber="1" containsInteger="1" minValue="0" maxValue="5"/>
    </cacheField>
    <cacheField name="うち、自己レス後" numFmtId="0">
      <sharedItems containsSemiMixedTypes="0" containsString="0" containsNumber="1" containsInteger="1" minValue="0" maxValue="6"/>
    </cacheField>
    <cacheField name="一言で言えば" numFmtId="0">
      <sharedItems containsBlank="1" count="20">
        <s v="かわいい"/>
        <s v="強い"/>
        <s v="スプーキー"/>
        <s v="かっこいい"/>
        <s v="モンスター"/>
        <s v="コミカル"/>
        <s v="いかつい"/>
        <s v="テクニカル"/>
        <s v="きもい"/>
        <s v="でかい" u="1"/>
        <s v="悪い" u="1"/>
        <s v="愛らしい" u="1"/>
        <s v="ゆめかわ" u="1"/>
        <s v="やみかわいい" u="1"/>
        <s v="かっこかわいい" u="1"/>
        <s v="小さい" u="1"/>
        <s v="無機質" u="1"/>
        <s v="間抜け" u="1"/>
        <s v="不思議" u="1"/>
        <m u="1"/>
      </sharedItems>
    </cacheField>
    <cacheField name="ジェンダー" numFmtId="0">
      <sharedItems containsBlank="1" count="4">
        <s v="女の子向け"/>
        <s v="男の子向け"/>
        <s v="ネタ枠"/>
        <m u="1"/>
      </sharedItems>
    </cacheField>
    <cacheField name="タイプ１" numFmtId="0">
      <sharedItems/>
    </cacheField>
    <cacheField name="タイプ２" numFmtId="0">
      <sharedItems containsBlank="1" containsMixedTypes="1" containsNumber="1" containsInteger="1" minValue="0" maxValue="0"/>
    </cacheField>
    <cacheField name="知名度" numFmtId="0">
      <sharedItems containsBlank="1"/>
    </cacheField>
    <cacheField name="どのトレーナーの？" numFmtId="0">
      <sharedItems containsBlank="1" count="24">
        <s v="アセロラ"/>
        <s v="ー"/>
        <s v="ワタル"/>
        <s v="ミツル、カルネ"/>
        <s v="オニオン、キクコ、プルメリ"/>
        <s v="カリン"/>
        <s v="グリーン、アユミ"/>
        <s v="カスミ、ウォロ"/>
        <s v="モミ"/>
        <s v="ノボリ、シキミ"/>
        <s v="リーリエ"/>
        <s v="ボタン"/>
        <m/>
        <s v="レッド"/>
        <s v="ヒガナ"/>
        <s v="シロナ"/>
        <s v="ビワ"/>
        <s v="レッド、ダンデ"/>
        <s v="ポピー、ミカン"/>
        <s v="マリィ"/>
        <s v="ポピー"/>
        <s v="サカキ"/>
        <s v="サンゴ"/>
        <s v="ミカン"/>
      </sharedItems>
    </cacheField>
    <cacheField name="その意見は" numFmtId="0">
      <sharedItems count="2">
        <s v="多数派"/>
        <s v="少数派"/>
      </sharedItems>
    </cacheField>
    <cacheField name="かわいさ" numFmtId="0">
      <sharedItems containsBlank="1"/>
    </cacheField>
    <cacheField name="かっこよさ" numFmtId="0">
      <sharedItems containsBlank="1"/>
    </cacheField>
    <cacheField name="うつくしさ" numFmtId="0">
      <sharedItems containsBlank="1"/>
    </cacheField>
    <cacheField name="個性的" numFmtId="0">
      <sharedItems containsBlank="1"/>
    </cacheField>
    <cacheField name="対戦強さ" numFmtId="0">
      <sharedItems containsBlank="1"/>
    </cacheField>
    <cacheField name="一人で複数あげている人があげた回数" numFmtId="0">
      <sharedItems containsSemiMixedTypes="0" containsString="0" containsNumber="1" containsInteger="1" minValue="0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4">
  <r>
    <n v="1"/>
    <s v="シゲ"/>
    <x v="0"/>
    <x v="0"/>
    <m/>
    <s v="ok"/>
    <x v="0"/>
  </r>
  <r>
    <n v="2"/>
    <s v="ひいらぎ"/>
    <x v="1"/>
    <x v="0"/>
    <m/>
    <s v="ok"/>
    <x v="1"/>
  </r>
  <r>
    <n v="3"/>
    <s v="ひいらぎ"/>
    <x v="2"/>
    <x v="0"/>
    <m/>
    <s v="ok"/>
    <x v="1"/>
  </r>
  <r>
    <n v="4"/>
    <s v="ひいらぎ"/>
    <x v="3"/>
    <x v="0"/>
    <m/>
    <s v="ok"/>
    <x v="1"/>
  </r>
  <r>
    <n v="5"/>
    <s v="ひいらぎ"/>
    <x v="4"/>
    <x v="0"/>
    <m/>
    <s v="ok"/>
    <x v="1"/>
  </r>
  <r>
    <n v="6"/>
    <s v="ひいらぎ"/>
    <x v="5"/>
    <x v="0"/>
    <m/>
    <s v="ok"/>
    <x v="1"/>
  </r>
  <r>
    <n v="7"/>
    <s v="ひいらぎ"/>
    <x v="6"/>
    <x v="0"/>
    <m/>
    <s v="ok"/>
    <x v="1"/>
  </r>
  <r>
    <n v="8"/>
    <s v="caos"/>
    <x v="7"/>
    <x v="0"/>
    <m/>
    <s v="ok"/>
    <x v="0"/>
  </r>
  <r>
    <n v="9"/>
    <s v="ミッキー"/>
    <x v="8"/>
    <x v="0"/>
    <m/>
    <s v="ok"/>
    <x v="0"/>
  </r>
  <r>
    <n v="10"/>
    <s v="えー。"/>
    <x v="9"/>
    <x v="0"/>
    <m/>
    <s v="ok"/>
    <x v="0"/>
  </r>
  <r>
    <n v="11"/>
    <s v="ゆけお"/>
    <x v="10"/>
    <x v="0"/>
    <m/>
    <s v="ok"/>
    <x v="2"/>
  </r>
  <r>
    <n v="12"/>
    <s v="ゆけお"/>
    <x v="11"/>
    <x v="0"/>
    <m/>
    <s v="ok"/>
    <x v="2"/>
  </r>
  <r>
    <n v="13"/>
    <s v="nobu"/>
    <x v="12"/>
    <x v="0"/>
    <m/>
    <s v="ok"/>
    <x v="0"/>
  </r>
  <r>
    <n v="14"/>
    <s v="ゆーしん"/>
    <x v="13"/>
    <x v="0"/>
    <m/>
    <s v="ok"/>
    <x v="0"/>
  </r>
  <r>
    <n v="15"/>
    <s v="りゅう"/>
    <x v="14"/>
    <x v="0"/>
    <m/>
    <s v="ok"/>
    <x v="0"/>
  </r>
  <r>
    <n v="16"/>
    <s v="不死鳥の焼く藻"/>
    <x v="15"/>
    <x v="0"/>
    <m/>
    <s v="ok"/>
    <x v="0"/>
  </r>
  <r>
    <n v="17"/>
    <s v="水色"/>
    <x v="16"/>
    <x v="0"/>
    <m/>
    <s v="ok"/>
    <x v="3"/>
  </r>
  <r>
    <n v="18"/>
    <s v="水色"/>
    <x v="17"/>
    <x v="0"/>
    <m/>
    <s v="ok"/>
    <x v="3"/>
  </r>
  <r>
    <n v="19"/>
    <s v="わかめくん"/>
    <x v="18"/>
    <x v="0"/>
    <s v="プクリンみたいな顔してる"/>
    <s v="ok"/>
    <x v="0"/>
  </r>
  <r>
    <n v="20"/>
    <s v="らぺ"/>
    <x v="19"/>
    <x v="0"/>
    <m/>
    <s v="ok"/>
    <x v="0"/>
  </r>
  <r>
    <n v="21"/>
    <s v="中性くん"/>
    <x v="20"/>
    <x v="0"/>
    <s v="この3匹から選ぶのじゃ&lt;3"/>
    <s v="ok"/>
    <x v="4"/>
  </r>
  <r>
    <n v="22"/>
    <s v="中性くん"/>
    <x v="21"/>
    <x v="0"/>
    <s v="この3匹から選ぶのじゃ&lt;3"/>
    <s v="ok"/>
    <x v="4"/>
  </r>
  <r>
    <n v="23"/>
    <s v="中性くん"/>
    <x v="22"/>
    <x v="0"/>
    <s v="この3匹から選ぶのじゃ&lt;3"/>
    <s v="ok"/>
    <x v="4"/>
  </r>
  <r>
    <n v="24"/>
    <s v="奏岬"/>
    <x v="23"/>
    <x v="0"/>
    <m/>
    <s v="ok"/>
    <x v="5"/>
  </r>
  <r>
    <n v="25"/>
    <s v="奏岬"/>
    <x v="1"/>
    <x v="0"/>
    <m/>
    <s v="ok"/>
    <x v="5"/>
  </r>
  <r>
    <n v="26"/>
    <s v="奏岬"/>
    <x v="24"/>
    <x v="0"/>
    <m/>
    <s v="ok"/>
    <x v="5"/>
  </r>
  <r>
    <n v="27"/>
    <s v="奏岬"/>
    <x v="25"/>
    <x v="0"/>
    <m/>
    <s v="ok"/>
    <x v="5"/>
  </r>
  <r>
    <n v="28"/>
    <s v="奏岬"/>
    <x v="26"/>
    <x v="0"/>
    <m/>
    <s v="ok"/>
    <x v="5"/>
  </r>
  <r>
    <n v="29"/>
    <s v="奏岬"/>
    <x v="27"/>
    <x v="0"/>
    <m/>
    <s v="ok"/>
    <x v="5"/>
  </r>
  <r>
    <n v="30"/>
    <s v="くずま"/>
    <x v="28"/>
    <x v="0"/>
    <m/>
    <s v="ok"/>
    <x v="0"/>
  </r>
  <r>
    <n v="31"/>
    <s v="みお"/>
    <x v="3"/>
    <x v="0"/>
    <m/>
    <s v="ok"/>
    <x v="6"/>
  </r>
  <r>
    <n v="32"/>
    <s v="みお"/>
    <x v="24"/>
    <x v="0"/>
    <m/>
    <s v="ok"/>
    <x v="6"/>
  </r>
  <r>
    <n v="33"/>
    <s v="みお"/>
    <x v="26"/>
    <x v="0"/>
    <m/>
    <s v="ok"/>
    <x v="6"/>
  </r>
  <r>
    <n v="34"/>
    <s v="みお"/>
    <x v="29"/>
    <x v="0"/>
    <m/>
    <s v="ok"/>
    <x v="6"/>
  </r>
  <r>
    <n v="35"/>
    <s v="みお"/>
    <x v="30"/>
    <x v="0"/>
    <m/>
    <s v="ok"/>
    <x v="6"/>
  </r>
  <r>
    <n v="36"/>
    <s v="みお"/>
    <x v="31"/>
    <x v="0"/>
    <m/>
    <s v="ok"/>
    <x v="6"/>
  </r>
  <r>
    <n v="37"/>
    <s v="うさぎ"/>
    <x v="15"/>
    <x v="0"/>
    <m/>
    <s v="ok"/>
    <x v="0"/>
  </r>
  <r>
    <n v="38"/>
    <s v="まこっち"/>
    <x v="32"/>
    <x v="0"/>
    <m/>
    <s v="ok"/>
    <x v="0"/>
  </r>
  <r>
    <n v="39"/>
    <s v="ゆでん"/>
    <x v="33"/>
    <x v="0"/>
    <m/>
    <s v="ok"/>
    <x v="7"/>
  </r>
  <r>
    <n v="40"/>
    <s v="ゆでん"/>
    <x v="34"/>
    <x v="0"/>
    <m/>
    <s v="ok"/>
    <x v="7"/>
  </r>
  <r>
    <n v="41"/>
    <s v="ゆでん"/>
    <x v="35"/>
    <x v="0"/>
    <s v="ピカチュウ♀"/>
    <s v="ok"/>
    <x v="7"/>
  </r>
  <r>
    <n v="42"/>
    <s v="生涯現役"/>
    <x v="36"/>
    <x v="0"/>
    <m/>
    <s v="ok"/>
    <x v="0"/>
  </r>
  <r>
    <n v="43"/>
    <s v="にんじん"/>
    <x v="37"/>
    <x v="0"/>
    <m/>
    <s v="ok"/>
    <x v="0"/>
  </r>
  <r>
    <n v="44"/>
    <s v="ボカロ狂い"/>
    <x v="38"/>
    <x v="0"/>
    <s v="厨パ"/>
    <s v="error"/>
    <x v="0"/>
  </r>
  <r>
    <n v="45"/>
    <s v="みなつ"/>
    <x v="39"/>
    <x v="0"/>
    <m/>
    <s v="ok"/>
    <x v="8"/>
  </r>
  <r>
    <n v="46"/>
    <s v="みなつ"/>
    <x v="9"/>
    <x v="0"/>
    <m/>
    <s v="ok"/>
    <x v="8"/>
  </r>
  <r>
    <n v="47"/>
    <s v="みなつ"/>
    <x v="40"/>
    <x v="0"/>
    <m/>
    <s v="ok"/>
    <x v="8"/>
  </r>
  <r>
    <n v="48"/>
    <s v="みなつ"/>
    <x v="10"/>
    <x v="0"/>
    <m/>
    <s v="ok"/>
    <x v="8"/>
  </r>
  <r>
    <n v="49"/>
    <s v="みなつ"/>
    <x v="41"/>
    <x v="0"/>
    <m/>
    <s v="ok"/>
    <x v="8"/>
  </r>
  <r>
    <n v="50"/>
    <s v="みなつ"/>
    <x v="42"/>
    <x v="0"/>
    <m/>
    <s v="ok"/>
    <x v="8"/>
  </r>
  <r>
    <n v="51"/>
    <s v="ガチャピン闇王くん"/>
    <x v="6"/>
    <x v="0"/>
    <m/>
    <s v="ok"/>
    <x v="0"/>
  </r>
  <r>
    <n v="52"/>
    <s v="NAOKI"/>
    <x v="43"/>
    <x v="0"/>
    <m/>
    <s v="ok"/>
    <x v="0"/>
  </r>
  <r>
    <n v="53"/>
    <s v="ベイマックス"/>
    <x v="44"/>
    <x v="0"/>
    <m/>
    <s v="ok"/>
    <x v="0"/>
  </r>
  <r>
    <n v="54"/>
    <s v="ちゃんノ丸"/>
    <x v="45"/>
    <x v="0"/>
    <m/>
    <s v="ok"/>
    <x v="0"/>
  </r>
  <r>
    <n v="55"/>
    <s v="ゆんち"/>
    <x v="46"/>
    <x v="0"/>
    <m/>
    <s v="ok"/>
    <x v="9"/>
  </r>
  <r>
    <n v="56"/>
    <s v="ゆんち"/>
    <x v="47"/>
    <x v="0"/>
    <m/>
    <s v="ok"/>
    <x v="9"/>
  </r>
  <r>
    <n v="57"/>
    <s v="ゆんち"/>
    <x v="45"/>
    <x v="0"/>
    <m/>
    <s v="ok"/>
    <x v="9"/>
  </r>
  <r>
    <n v="58"/>
    <s v="ゆんち"/>
    <x v="10"/>
    <x v="0"/>
    <m/>
    <s v="ok"/>
    <x v="9"/>
  </r>
  <r>
    <n v="59"/>
    <s v="ゆんち"/>
    <x v="48"/>
    <x v="0"/>
    <m/>
    <s v="ok"/>
    <x v="9"/>
  </r>
  <r>
    <n v="60"/>
    <s v="ゆんち"/>
    <x v="49"/>
    <x v="0"/>
    <m/>
    <s v="ok"/>
    <x v="9"/>
  </r>
  <r>
    <n v="61"/>
    <s v="うちゃぎ"/>
    <x v="40"/>
    <x v="0"/>
    <s v="ゆびをふる"/>
    <s v="ok"/>
    <x v="0"/>
  </r>
  <r>
    <n v="62"/>
    <s v="ニラダレ"/>
    <x v="9"/>
    <x v="0"/>
    <m/>
    <s v="ok"/>
    <x v="0"/>
  </r>
  <r>
    <n v="63"/>
    <s v="お犬"/>
    <x v="50"/>
    <x v="0"/>
    <m/>
    <s v="ok"/>
    <x v="0"/>
  </r>
  <r>
    <n v="64"/>
    <s v="シラスビーム"/>
    <x v="51"/>
    <x v="0"/>
    <m/>
    <s v="ok"/>
    <x v="0"/>
  </r>
  <r>
    <n v="65"/>
    <s v="柚月将軍"/>
    <x v="52"/>
    <x v="0"/>
    <m/>
    <s v="ok"/>
    <x v="0"/>
  </r>
  <r>
    <n v="66"/>
    <s v="霊魂空白"/>
    <x v="53"/>
    <x v="0"/>
    <s v="メンヘラっぽいから"/>
    <s v="ok"/>
    <x v="0"/>
  </r>
  <r>
    <n v="67"/>
    <s v="白雪"/>
    <x v="54"/>
    <x v="0"/>
    <m/>
    <s v="ok"/>
    <x v="0"/>
  </r>
  <r>
    <n v="68"/>
    <s v="時の森"/>
    <x v="55"/>
    <x v="0"/>
    <m/>
    <s v="ok"/>
    <x v="0"/>
  </r>
  <r>
    <n v="69"/>
    <s v="想定外"/>
    <x v="56"/>
    <x v="0"/>
    <m/>
    <s v="ok"/>
    <x v="0"/>
  </r>
  <r>
    <n v="70"/>
    <s v="sha.raku"/>
    <x v="28"/>
    <x v="0"/>
    <m/>
    <s v="ok"/>
    <x v="0"/>
  </r>
  <r>
    <n v="71"/>
    <s v="シークレットk"/>
    <x v="39"/>
    <x v="0"/>
    <m/>
    <s v="ok"/>
    <x v="0"/>
  </r>
  <r>
    <n v="72"/>
    <s v="神"/>
    <x v="57"/>
    <x v="0"/>
    <m/>
    <s v="ok"/>
    <x v="10"/>
  </r>
  <r>
    <n v="73"/>
    <s v="神"/>
    <x v="32"/>
    <x v="0"/>
    <m/>
    <s v="ok"/>
    <x v="10"/>
  </r>
  <r>
    <n v="74"/>
    <s v="神"/>
    <x v="58"/>
    <x v="0"/>
    <m/>
    <s v="ok"/>
    <x v="10"/>
  </r>
  <r>
    <n v="75"/>
    <s v="神"/>
    <x v="59"/>
    <x v="0"/>
    <m/>
    <s v="ok"/>
    <x v="10"/>
  </r>
  <r>
    <n v="76"/>
    <s v="神"/>
    <x v="60"/>
    <x v="0"/>
    <m/>
    <s v="ok"/>
    <x v="10"/>
  </r>
  <r>
    <n v="77"/>
    <s v="むめい"/>
    <x v="61"/>
    <x v="0"/>
    <m/>
    <s v="ok"/>
    <x v="0"/>
  </r>
  <r>
    <n v="78"/>
    <s v="ちくちくりん"/>
    <x v="62"/>
    <x v="0"/>
    <m/>
    <s v="ok"/>
    <x v="11"/>
  </r>
  <r>
    <n v="79"/>
    <s v="ちくちくりん"/>
    <x v="61"/>
    <x v="0"/>
    <m/>
    <s v="ok"/>
    <x v="11"/>
  </r>
  <r>
    <n v="80"/>
    <s v="shingo"/>
    <x v="63"/>
    <x v="0"/>
    <s v="可愛い系のノーマル"/>
    <s v="ok"/>
    <x v="12"/>
  </r>
  <r>
    <n v="81"/>
    <s v="shingo"/>
    <x v="64"/>
    <x v="0"/>
    <s v="可愛い系のノーマル"/>
    <s v="ok"/>
    <x v="12"/>
  </r>
  <r>
    <n v="82"/>
    <s v="shingo"/>
    <x v="9"/>
    <x v="0"/>
    <s v="可愛い系のノーマル"/>
    <s v="ok"/>
    <x v="12"/>
  </r>
  <r>
    <n v="83"/>
    <s v="仮面サンチーム"/>
    <x v="55"/>
    <x v="0"/>
    <m/>
    <s v="ok"/>
    <x v="13"/>
  </r>
  <r>
    <n v="84"/>
    <s v="仮面サンチーム"/>
    <x v="65"/>
    <x v="0"/>
    <m/>
    <s v="ok"/>
    <x v="13"/>
  </r>
  <r>
    <n v="85"/>
    <s v="仮面サンチーム"/>
    <x v="66"/>
    <x v="0"/>
    <m/>
    <s v="ok"/>
    <x v="13"/>
  </r>
  <r>
    <n v="86"/>
    <s v="仮面サンチーム"/>
    <x v="67"/>
    <x v="0"/>
    <m/>
    <s v="ok"/>
    <x v="13"/>
  </r>
  <r>
    <n v="87"/>
    <s v="仮面サンチーム"/>
    <x v="68"/>
    <x v="0"/>
    <m/>
    <s v="ok"/>
    <x v="13"/>
  </r>
  <r>
    <n v="88"/>
    <s v="仮面サンチーム"/>
    <x v="69"/>
    <x v="0"/>
    <m/>
    <s v="ok"/>
    <x v="13"/>
  </r>
  <r>
    <n v="89"/>
    <s v="かい"/>
    <x v="64"/>
    <x v="0"/>
    <s v="イーブイlv6"/>
    <s v="ok"/>
    <x v="0"/>
  </r>
  <r>
    <n v="90"/>
    <s v="ラマ"/>
    <x v="39"/>
    <x v="0"/>
    <m/>
    <s v="ok"/>
    <x v="0"/>
  </r>
  <r>
    <n v="91"/>
    <s v="ろん"/>
    <x v="70"/>
    <x v="0"/>
    <m/>
    <s v="ok"/>
    <x v="14"/>
  </r>
  <r>
    <n v="92"/>
    <s v="ろん"/>
    <x v="71"/>
    <x v="0"/>
    <m/>
    <s v="ok"/>
    <x v="14"/>
  </r>
  <r>
    <n v="93"/>
    <s v="貝殻の絵文字"/>
    <x v="72"/>
    <x v="0"/>
    <m/>
    <s v="ok"/>
    <x v="0"/>
  </r>
  <r>
    <n v="94"/>
    <s v="コンさん＠"/>
    <x v="73"/>
    <x v="0"/>
    <m/>
    <s v="ok"/>
    <x v="0"/>
  </r>
  <r>
    <n v="95"/>
    <s v="ひなた"/>
    <x v="38"/>
    <x v="0"/>
    <s v="くさタイプ使ってきそう"/>
    <s v="error"/>
    <x v="0"/>
  </r>
  <r>
    <n v="96"/>
    <s v="前頭葉"/>
    <x v="21"/>
    <x v="0"/>
    <m/>
    <s v="ok"/>
    <x v="15"/>
  </r>
  <r>
    <n v="97"/>
    <s v="前頭葉"/>
    <x v="74"/>
    <x v="0"/>
    <m/>
    <s v="ok"/>
    <x v="15"/>
  </r>
  <r>
    <n v="98"/>
    <s v="りょ"/>
    <x v="75"/>
    <x v="0"/>
    <m/>
    <s v="ok"/>
    <x v="0"/>
  </r>
  <r>
    <n v="99"/>
    <s v="アイスティー"/>
    <x v="31"/>
    <x v="0"/>
    <m/>
    <s v="ok"/>
    <x v="0"/>
  </r>
  <r>
    <n v="100"/>
    <s v="匿名"/>
    <x v="76"/>
    <x v="0"/>
    <m/>
    <s v="ok"/>
    <x v="0"/>
  </r>
  <r>
    <n v="101"/>
    <s v="ゆとん"/>
    <x v="77"/>
    <x v="0"/>
    <m/>
    <s v="ok"/>
    <x v="0"/>
  </r>
  <r>
    <n v="102"/>
    <s v="デジタルタトゥーニキ"/>
    <x v="78"/>
    <x v="0"/>
    <m/>
    <s v="ok"/>
    <x v="0"/>
  </r>
  <r>
    <n v="103"/>
    <s v="ゴリ"/>
    <x v="79"/>
    <x v="0"/>
    <m/>
    <s v="ok"/>
    <x v="0"/>
  </r>
  <r>
    <n v="104"/>
    <s v="ばぶ"/>
    <x v="80"/>
    <x v="0"/>
    <m/>
    <s v="ok"/>
    <x v="0"/>
  </r>
  <r>
    <n v="105"/>
    <s v="ぺぺち"/>
    <x v="81"/>
    <x v="0"/>
    <s v="（他に言っている人が）一人もいなくてびっくり"/>
    <s v="ok"/>
    <x v="0"/>
  </r>
  <r>
    <n v="106"/>
    <s v="のん"/>
    <x v="4"/>
    <x v="0"/>
    <m/>
    <s v="ok"/>
    <x v="16"/>
  </r>
  <r>
    <n v="107"/>
    <s v="のん"/>
    <x v="26"/>
    <x v="0"/>
    <m/>
    <s v="ok"/>
    <x v="16"/>
  </r>
  <r>
    <n v="108"/>
    <s v="shawn"/>
    <x v="82"/>
    <x v="0"/>
    <m/>
    <s v="ok"/>
    <x v="17"/>
  </r>
  <r>
    <n v="109"/>
    <s v="shawn"/>
    <x v="83"/>
    <x v="0"/>
    <m/>
    <s v="ok"/>
    <x v="17"/>
  </r>
  <r>
    <n v="110"/>
    <s v="つー"/>
    <x v="84"/>
    <x v="0"/>
    <s v="lv3～lv13のチュリネ6匹"/>
    <s v="ok"/>
    <x v="0"/>
  </r>
  <r>
    <n v="111"/>
    <s v="金属バット"/>
    <x v="85"/>
    <x v="0"/>
    <m/>
    <s v="ok"/>
    <x v="18"/>
  </r>
  <r>
    <n v="112"/>
    <s v="金属バット"/>
    <x v="86"/>
    <x v="0"/>
    <m/>
    <s v="ok"/>
    <x v="18"/>
  </r>
  <r>
    <n v="113"/>
    <s v="金属バット"/>
    <x v="15"/>
    <x v="0"/>
    <m/>
    <s v="ok"/>
    <x v="18"/>
  </r>
  <r>
    <n v="114"/>
    <s v="月見たべたい"/>
    <x v="38"/>
    <x v="0"/>
    <s v="はがね"/>
    <s v="error"/>
    <x v="0"/>
  </r>
  <r>
    <n v="115"/>
    <s v="ふぁろく"/>
    <x v="18"/>
    <x v="0"/>
    <m/>
    <s v="ok"/>
    <x v="0"/>
  </r>
  <r>
    <n v="116"/>
    <s v="かたぎり"/>
    <x v="87"/>
    <x v="0"/>
    <m/>
    <s v="ok"/>
    <x v="0"/>
  </r>
  <r>
    <n v="117"/>
    <s v="きゅうり"/>
    <x v="88"/>
    <x v="0"/>
    <m/>
    <s v="ok"/>
    <x v="0"/>
  </r>
  <r>
    <n v="118"/>
    <s v="nousagi"/>
    <x v="89"/>
    <x v="0"/>
    <m/>
    <s v="ok"/>
    <x v="0"/>
  </r>
  <r>
    <n v="119"/>
    <s v="ken"/>
    <x v="90"/>
    <x v="0"/>
    <m/>
    <s v="ok"/>
    <x v="0"/>
  </r>
  <r>
    <n v="120"/>
    <s v="又三郎"/>
    <x v="91"/>
    <x v="0"/>
    <m/>
    <s v="ok"/>
    <x v="19"/>
  </r>
  <r>
    <n v="121"/>
    <s v="又三郎"/>
    <x v="92"/>
    <x v="0"/>
    <m/>
    <s v="ok"/>
    <x v="19"/>
  </r>
  <r>
    <n v="122"/>
    <s v="又三郎"/>
    <x v="93"/>
    <x v="0"/>
    <m/>
    <s v="ok"/>
    <x v="19"/>
  </r>
  <r>
    <n v="123"/>
    <s v="又三郎"/>
    <x v="94"/>
    <x v="0"/>
    <m/>
    <s v="ok"/>
    <x v="19"/>
  </r>
  <r>
    <n v="124"/>
    <s v="又三郎"/>
    <x v="95"/>
    <x v="0"/>
    <m/>
    <s v="ok"/>
    <x v="19"/>
  </r>
  <r>
    <n v="125"/>
    <s v="又三郎"/>
    <x v="0"/>
    <x v="0"/>
    <m/>
    <s v="ok"/>
    <x v="19"/>
  </r>
  <r>
    <n v="126"/>
    <s v="神楽坂"/>
    <x v="79"/>
    <x v="0"/>
    <m/>
    <s v="ok"/>
    <x v="20"/>
  </r>
  <r>
    <n v="127"/>
    <s v="神楽坂"/>
    <x v="96"/>
    <x v="0"/>
    <m/>
    <s v="ok"/>
    <x v="20"/>
  </r>
  <r>
    <n v="128"/>
    <s v="神楽坂"/>
    <x v="3"/>
    <x v="0"/>
    <m/>
    <s v="ok"/>
    <x v="20"/>
  </r>
  <r>
    <n v="129"/>
    <s v="神楽坂"/>
    <x v="24"/>
    <x v="0"/>
    <m/>
    <s v="ok"/>
    <x v="20"/>
  </r>
  <r>
    <n v="130"/>
    <s v="神楽坂"/>
    <x v="97"/>
    <x v="0"/>
    <m/>
    <s v="ok"/>
    <x v="20"/>
  </r>
  <r>
    <n v="131"/>
    <s v="神楽坂"/>
    <x v="67"/>
    <x v="0"/>
    <m/>
    <s v="ok"/>
    <x v="20"/>
  </r>
  <r>
    <n v="132"/>
    <s v="にょっす"/>
    <x v="46"/>
    <x v="0"/>
    <m/>
    <s v="ok"/>
    <x v="0"/>
  </r>
  <r>
    <n v="133"/>
    <s v="無名"/>
    <x v="98"/>
    <x v="0"/>
    <m/>
    <s v="ok"/>
    <x v="21"/>
  </r>
  <r>
    <n v="134"/>
    <s v="無名"/>
    <x v="99"/>
    <x v="0"/>
    <m/>
    <s v="ok"/>
    <x v="21"/>
  </r>
  <r>
    <n v="135"/>
    <s v="無名"/>
    <x v="40"/>
    <x v="0"/>
    <m/>
    <s v="ok"/>
    <x v="21"/>
  </r>
  <r>
    <n v="136"/>
    <s v="・"/>
    <x v="100"/>
    <x v="0"/>
    <m/>
    <s v="ok"/>
    <x v="0"/>
  </r>
  <r>
    <n v="137"/>
    <s v="ryuto"/>
    <x v="101"/>
    <x v="0"/>
    <m/>
    <s v="ok"/>
    <x v="22"/>
  </r>
  <r>
    <n v="138"/>
    <s v="ryuto"/>
    <x v="30"/>
    <x v="0"/>
    <m/>
    <s v="ok"/>
    <x v="22"/>
  </r>
  <r>
    <n v="139"/>
    <s v="ryuto"/>
    <x v="102"/>
    <x v="0"/>
    <m/>
    <s v="ok"/>
    <x v="22"/>
  </r>
  <r>
    <n v="140"/>
    <s v="ryuto"/>
    <x v="103"/>
    <x v="0"/>
    <m/>
    <s v="ok"/>
    <x v="22"/>
  </r>
  <r>
    <n v="141"/>
    <s v="ryuto"/>
    <x v="26"/>
    <x v="0"/>
    <m/>
    <s v="ok"/>
    <x v="22"/>
  </r>
  <r>
    <n v="142"/>
    <s v="ryuto"/>
    <x v="3"/>
    <x v="0"/>
    <m/>
    <s v="ok"/>
    <x v="22"/>
  </r>
  <r>
    <n v="143"/>
    <s v="ちょ"/>
    <x v="38"/>
    <x v="0"/>
    <s v="ゆめとくせい"/>
    <s v="error"/>
    <x v="0"/>
  </r>
  <r>
    <n v="144"/>
    <s v="茶"/>
    <x v="64"/>
    <x v="0"/>
    <m/>
    <s v="ok"/>
    <x v="0"/>
  </r>
  <r>
    <n v="145"/>
    <s v="クラウス"/>
    <x v="104"/>
    <x v="0"/>
    <m/>
    <s v="ok"/>
    <x v="0"/>
  </r>
  <r>
    <n v="146"/>
    <s v="ひ。"/>
    <x v="71"/>
    <x v="0"/>
    <s v="草タイプ"/>
    <s v="ok"/>
    <x v="23"/>
  </r>
  <r>
    <n v="147"/>
    <s v="ひ。"/>
    <x v="84"/>
    <x v="0"/>
    <s v="草タイプ"/>
    <s v="ok"/>
    <x v="23"/>
  </r>
  <r>
    <n v="148"/>
    <s v="ひ。"/>
    <x v="105"/>
    <x v="0"/>
    <s v="草タイプ"/>
    <s v="ok"/>
    <x v="23"/>
  </r>
  <r>
    <n v="149"/>
    <s v="ひ。"/>
    <x v="106"/>
    <x v="0"/>
    <s v="草タイプ"/>
    <s v="ok"/>
    <x v="23"/>
  </r>
  <r>
    <n v="150"/>
    <s v="ひ。"/>
    <x v="107"/>
    <x v="0"/>
    <s v="草タイプ"/>
    <s v="ok"/>
    <x v="23"/>
  </r>
  <r>
    <n v="151"/>
    <s v="焼きうどん"/>
    <x v="108"/>
    <x v="0"/>
    <m/>
    <s v="ok"/>
    <x v="0"/>
  </r>
  <r>
    <n v="152"/>
    <s v="魅上"/>
    <x v="109"/>
    <x v="0"/>
    <m/>
    <s v="ok"/>
    <x v="0"/>
  </r>
  <r>
    <n v="153"/>
    <s v="ハム太郎"/>
    <x v="110"/>
    <x v="0"/>
    <m/>
    <s v="ok"/>
    <x v="0"/>
  </r>
  <r>
    <n v="154"/>
    <s v="ハムより生ハム派"/>
    <x v="39"/>
    <x v="0"/>
    <m/>
    <s v="ok"/>
    <x v="24"/>
  </r>
  <r>
    <n v="155"/>
    <s v="ハムより生ハム派"/>
    <x v="15"/>
    <x v="0"/>
    <m/>
    <s v="ok"/>
    <x v="24"/>
  </r>
  <r>
    <n v="156"/>
    <s v="ハムより生ハム派"/>
    <x v="111"/>
    <x v="0"/>
    <m/>
    <s v="ok"/>
    <x v="24"/>
  </r>
  <r>
    <n v="157"/>
    <s v="ハムより生ハム派"/>
    <x v="112"/>
    <x v="0"/>
    <m/>
    <s v="ok"/>
    <x v="24"/>
  </r>
  <r>
    <n v="158"/>
    <s v="ハムより生ハム派"/>
    <x v="9"/>
    <x v="0"/>
    <m/>
    <s v="ok"/>
    <x v="24"/>
  </r>
  <r>
    <n v="159"/>
    <s v="ゆーじ"/>
    <x v="113"/>
    <x v="0"/>
    <m/>
    <s v="ok"/>
    <x v="0"/>
  </r>
  <r>
    <n v="160"/>
    <s v="リキ"/>
    <x v="114"/>
    <x v="0"/>
    <m/>
    <s v="ok"/>
    <x v="0"/>
  </r>
  <r>
    <n v="161"/>
    <s v="れん"/>
    <x v="115"/>
    <x v="0"/>
    <m/>
    <s v="ok"/>
    <x v="0"/>
  </r>
  <r>
    <n v="162"/>
    <s v="ソラ"/>
    <x v="116"/>
    <x v="0"/>
    <m/>
    <s v="ok"/>
    <x v="0"/>
  </r>
  <r>
    <n v="163"/>
    <s v="K"/>
    <x v="66"/>
    <x v="0"/>
    <m/>
    <s v="ok"/>
    <x v="0"/>
  </r>
  <r>
    <n v="164"/>
    <s v="なめろう"/>
    <x v="72"/>
    <x v="0"/>
    <m/>
    <s v="ok"/>
    <x v="0"/>
  </r>
  <r>
    <n v="165"/>
    <s v="ミキ"/>
    <x v="117"/>
    <x v="0"/>
    <m/>
    <s v="ok"/>
    <x v="0"/>
  </r>
  <r>
    <n v="166"/>
    <s v="らと"/>
    <x v="118"/>
    <x v="0"/>
    <m/>
    <s v="ok"/>
    <x v="0"/>
  </r>
  <r>
    <n v="167"/>
    <s v="任天堂"/>
    <x v="119"/>
    <x v="0"/>
    <m/>
    <s v="ok"/>
    <x v="0"/>
  </r>
  <r>
    <n v="168"/>
    <s v="はりぼう"/>
    <x v="120"/>
    <x v="0"/>
    <m/>
    <s v="ok"/>
    <x v="0"/>
  </r>
  <r>
    <n v="169"/>
    <s v="だっち"/>
    <x v="3"/>
    <x v="0"/>
    <s v="ゴースト、エスパー、フェアリー"/>
    <s v="ok"/>
    <x v="0"/>
  </r>
  <r>
    <n v="170"/>
    <s v="デボネア"/>
    <x v="121"/>
    <x v="0"/>
    <m/>
    <s v="ok"/>
    <x v="0"/>
  </r>
  <r>
    <n v="171"/>
    <s v="くだものてんごく"/>
    <x v="122"/>
    <x v="0"/>
    <m/>
    <s v="ok"/>
    <x v="0"/>
  </r>
  <r>
    <n v="172"/>
    <s v="シゲ"/>
    <x v="87"/>
    <x v="0"/>
    <m/>
    <s v="ok"/>
    <x v="0"/>
  </r>
  <r>
    <n v="173"/>
    <s v="まる太郎"/>
    <x v="123"/>
    <x v="0"/>
    <m/>
    <s v="ok"/>
    <x v="0"/>
  </r>
  <r>
    <n v="174"/>
    <s v="カフェイン忘れじぃじ"/>
    <x v="124"/>
    <x v="0"/>
    <s v="絡め手、てんめぐ無限怯みキッス"/>
    <s v="ok"/>
    <x v="25"/>
  </r>
  <r>
    <n v="175"/>
    <s v="カフェイン忘れじぃじ"/>
    <x v="125"/>
    <x v="0"/>
    <s v="絡め手、特殊受けハピナス"/>
    <s v="ok"/>
    <x v="25"/>
  </r>
  <r>
    <n v="176"/>
    <s v="カフェイン忘れじぃじ"/>
    <x v="126"/>
    <x v="0"/>
    <s v="絡め手、のどスプレーニンフィア"/>
    <s v="ok"/>
    <x v="25"/>
  </r>
  <r>
    <n v="177"/>
    <s v="カフェイン忘れじぃじ"/>
    <x v="127"/>
    <x v="0"/>
    <s v="絡め手、ポイヒグライオン"/>
    <s v="ok"/>
    <x v="25"/>
  </r>
  <r>
    <n v="178"/>
    <s v="ヨッシー"/>
    <x v="128"/>
    <x v="0"/>
    <m/>
    <s v="ok"/>
    <x v="0"/>
  </r>
  <r>
    <n v="179"/>
    <s v="カフェイン忘れじぃじ"/>
    <x v="61"/>
    <x v="0"/>
    <s v="ダブルバトルならサーナイトトリックルームの横にはらだいこカビゴン"/>
    <s v="ok"/>
    <x v="25"/>
  </r>
  <r>
    <n v="180"/>
    <s v="カフェイン忘れじぃじ"/>
    <x v="60"/>
    <x v="0"/>
    <s v="ダブルバトルならサーナイトトリックルームの横にはらだいこカビゴン"/>
    <s v="ok"/>
    <x v="25"/>
  </r>
  <r>
    <n v="181"/>
    <s v="カフェイン忘れじぃじ"/>
    <x v="129"/>
    <x v="0"/>
    <s v="回復ヤバソチャ"/>
    <s v="ok"/>
    <x v="25"/>
  </r>
  <r>
    <n v="182"/>
    <s v="カフェイン忘れじぃじ"/>
    <x v="130"/>
    <x v="0"/>
    <s v="噴火コータス"/>
    <s v="ok"/>
    <x v="25"/>
  </r>
  <r>
    <n v="183"/>
    <s v="カフェイン忘れじぃじ"/>
    <x v="26"/>
    <x v="0"/>
    <m/>
    <s v="ok"/>
    <x v="25"/>
  </r>
  <r>
    <n v="184"/>
    <s v="とも"/>
    <x v="39"/>
    <x v="0"/>
    <s v="プリン→プリン→プクリン"/>
    <s v="ok"/>
    <x v="26"/>
  </r>
  <r>
    <n v="185"/>
    <s v="とも"/>
    <x v="18"/>
    <x v="0"/>
    <s v="プリン→プリン→プクリン"/>
    <s v="ok"/>
    <x v="26"/>
  </r>
  <r>
    <n v="186"/>
    <s v="あまね（投稿主）"/>
    <x v="46"/>
    <x v="1"/>
    <s v="投稿主の実際に使っているポケモン"/>
    <s v="ok"/>
    <x v="0"/>
  </r>
  <r>
    <n v="187"/>
    <s v="あまね（投稿主）"/>
    <x v="131"/>
    <x v="1"/>
    <s v="投稿主の実際に使っているポケモン"/>
    <s v="ok"/>
    <x v="0"/>
  </r>
  <r>
    <n v="188"/>
    <s v="あまね（投稿主）"/>
    <x v="50"/>
    <x v="1"/>
    <s v="投稿主の実際に使っているポケモン"/>
    <s v="ok"/>
    <x v="0"/>
  </r>
  <r>
    <n v="189"/>
    <s v="あまね（投稿主）"/>
    <x v="47"/>
    <x v="1"/>
    <s v="投稿主の実際に使っているポケモン"/>
    <s v="ok"/>
    <x v="0"/>
  </r>
  <r>
    <n v="190"/>
    <s v="あまね（投稿主）"/>
    <x v="18"/>
    <x v="1"/>
    <s v="投稿主の実際に使っているポケモン"/>
    <s v="ok"/>
    <x v="0"/>
  </r>
  <r>
    <n v="191"/>
    <s v="あまね（投稿主）"/>
    <x v="132"/>
    <x v="1"/>
    <s v="投稿主の実際に使っているポケモン"/>
    <s v="ok"/>
    <x v="0"/>
  </r>
  <r>
    <n v="192"/>
    <s v="あまね（投稿主）"/>
    <x v="126"/>
    <x v="1"/>
    <s v="投稿主の実際に使っているポケモン"/>
    <s v="ok"/>
    <x v="0"/>
  </r>
  <r>
    <n v="193"/>
    <s v="あまね（投稿主）"/>
    <x v="133"/>
    <x v="1"/>
    <s v="投稿主の実際に使っているポケモン"/>
    <s v="ok"/>
    <x v="0"/>
  </r>
  <r>
    <n v="194"/>
    <s v="あまね（投稿主）"/>
    <x v="45"/>
    <x v="1"/>
    <s v="投稿主の実際に使っているポケモン"/>
    <s v="ok"/>
    <x v="0"/>
  </r>
  <r>
    <n v="195"/>
    <s v="吉田雅治"/>
    <x v="134"/>
    <x v="2"/>
    <m/>
    <s v="ok"/>
    <x v="0"/>
  </r>
  <r>
    <n v="196"/>
    <s v="s"/>
    <x v="135"/>
    <x v="2"/>
    <m/>
    <s v="ok"/>
    <x v="0"/>
  </r>
  <r>
    <n v="197"/>
    <s v="ふくろう"/>
    <x v="64"/>
    <x v="2"/>
    <m/>
    <s v="ok"/>
    <x v="0"/>
  </r>
  <r>
    <n v="198"/>
    <s v="なんでも屋"/>
    <x v="136"/>
    <x v="2"/>
    <m/>
    <s v="ok"/>
    <x v="0"/>
  </r>
  <r>
    <n v="199"/>
    <s v="恵しょん"/>
    <x v="68"/>
    <x v="2"/>
    <m/>
    <s v="ok"/>
    <x v="0"/>
  </r>
  <r>
    <n v="200"/>
    <s v="まめた"/>
    <x v="45"/>
    <x v="2"/>
    <m/>
    <s v="ok"/>
    <x v="0"/>
  </r>
  <r>
    <n v="201"/>
    <s v="のし"/>
    <x v="137"/>
    <x v="2"/>
    <m/>
    <s v="ok"/>
    <x v="0"/>
  </r>
  <r>
    <n v="202"/>
    <s v="おちゃ"/>
    <x v="50"/>
    <x v="2"/>
    <m/>
    <s v="ok"/>
    <x v="0"/>
  </r>
  <r>
    <n v="203"/>
    <s v="ひー"/>
    <x v="128"/>
    <x v="2"/>
    <m/>
    <s v="ok"/>
    <x v="0"/>
  </r>
  <r>
    <n v="204"/>
    <s v="ぷれっつぇる"/>
    <x v="125"/>
    <x v="2"/>
    <m/>
    <s v="ok"/>
    <x v="27"/>
  </r>
  <r>
    <n v="205"/>
    <s v="ぷれっつぇる"/>
    <x v="131"/>
    <x v="2"/>
    <m/>
    <s v="ok"/>
    <x v="27"/>
  </r>
  <r>
    <n v="206"/>
    <s v="ぷれっつぇる"/>
    <x v="46"/>
    <x v="2"/>
    <m/>
    <s v="ok"/>
    <x v="27"/>
  </r>
  <r>
    <n v="207"/>
    <s v="ぷれっつぇる"/>
    <x v="15"/>
    <x v="2"/>
    <m/>
    <s v="ok"/>
    <x v="27"/>
  </r>
  <r>
    <n v="208"/>
    <s v="ぷれっつぇる"/>
    <x v="138"/>
    <x v="2"/>
    <m/>
    <s v="ok"/>
    <x v="27"/>
  </r>
  <r>
    <n v="209"/>
    <s v="ぷれっつぇる"/>
    <x v="2"/>
    <x v="2"/>
    <m/>
    <s v="ok"/>
    <x v="27"/>
  </r>
  <r>
    <n v="210"/>
    <s v="ぷれっつぇる"/>
    <x v="42"/>
    <x v="2"/>
    <m/>
    <s v="ok"/>
    <x v="27"/>
  </r>
  <r>
    <n v="211"/>
    <s v="もーりさん"/>
    <x v="90"/>
    <x v="2"/>
    <m/>
    <s v="ok"/>
    <x v="28"/>
  </r>
  <r>
    <n v="212"/>
    <s v="もーりさん"/>
    <x v="64"/>
    <x v="2"/>
    <m/>
    <s v="ok"/>
    <x v="28"/>
  </r>
  <r>
    <n v="213"/>
    <s v="ほね"/>
    <x v="139"/>
    <x v="2"/>
    <s v="スリーパーにちょー懐かれてそう"/>
    <s v="ok"/>
    <x v="0"/>
  </r>
  <r>
    <n v="214"/>
    <s v="七転び八奈見"/>
    <x v="40"/>
    <x v="2"/>
    <m/>
    <s v="ok"/>
    <x v="0"/>
  </r>
  <r>
    <n v="215"/>
    <s v="天然水"/>
    <x v="140"/>
    <x v="2"/>
    <m/>
    <s v="ok"/>
    <x v="0"/>
  </r>
  <r>
    <n v="216"/>
    <s v="Y"/>
    <x v="141"/>
    <x v="2"/>
    <m/>
    <s v="ok"/>
    <x v="0"/>
  </r>
  <r>
    <n v="217"/>
    <s v="（空白）"/>
    <x v="51"/>
    <x v="2"/>
    <m/>
    <s v="ok"/>
    <x v="0"/>
  </r>
  <r>
    <n v="218"/>
    <s v="メガアカイ"/>
    <x v="71"/>
    <x v="2"/>
    <m/>
    <s v="ok"/>
    <x v="0"/>
  </r>
  <r>
    <n v="219"/>
    <s v="cookie"/>
    <x v="142"/>
    <x v="2"/>
    <m/>
    <s v="ok"/>
    <x v="0"/>
  </r>
  <r>
    <n v="220"/>
    <s v="いつき"/>
    <x v="45"/>
    <x v="2"/>
    <m/>
    <s v="ok"/>
    <x v="29"/>
  </r>
  <r>
    <n v="221"/>
    <s v="いつき"/>
    <x v="10"/>
    <x v="2"/>
    <m/>
    <s v="ok"/>
    <x v="29"/>
  </r>
  <r>
    <n v="222"/>
    <s v="いつき"/>
    <x v="143"/>
    <x v="2"/>
    <m/>
    <s v="ok"/>
    <x v="29"/>
  </r>
  <r>
    <n v="223"/>
    <s v="クロスケ"/>
    <x v="38"/>
    <x v="2"/>
    <s v="元ノーマルのフェアリー"/>
    <s v="error"/>
    <x v="0"/>
  </r>
  <r>
    <n v="224"/>
    <s v="もうふちゃん"/>
    <x v="126"/>
    <x v="2"/>
    <m/>
    <s v="ok"/>
    <x v="30"/>
  </r>
  <r>
    <n v="225"/>
    <s v="もうふちゃん"/>
    <x v="72"/>
    <x v="2"/>
    <m/>
    <s v="ok"/>
    <x v="30"/>
  </r>
  <r>
    <n v="226"/>
    <s v="マル"/>
    <x v="18"/>
    <x v="2"/>
    <m/>
    <s v="ok"/>
    <x v="0"/>
  </r>
  <r>
    <n v="227"/>
    <s v="eeliaas"/>
    <x v="144"/>
    <x v="2"/>
    <m/>
    <s v="ok"/>
    <x v="0"/>
  </r>
  <r>
    <n v="228"/>
    <s v="ざき"/>
    <x v="72"/>
    <x v="2"/>
    <m/>
    <s v="ok"/>
    <x v="0"/>
  </r>
  <r>
    <n v="229"/>
    <s v="アルアル"/>
    <x v="145"/>
    <x v="2"/>
    <m/>
    <s v="ok"/>
    <x v="0"/>
  </r>
  <r>
    <n v="230"/>
    <s v="みんと"/>
    <x v="145"/>
    <x v="2"/>
    <m/>
    <s v="ok"/>
    <x v="0"/>
  </r>
  <r>
    <n v="231"/>
    <s v="uiのさとー"/>
    <x v="26"/>
    <x v="2"/>
    <s v="耐久型カイリュー"/>
    <s v="ok"/>
    <x v="0"/>
  </r>
  <r>
    <n v="232"/>
    <s v="チョコレート好き"/>
    <x v="146"/>
    <x v="2"/>
    <m/>
    <s v="ok"/>
    <x v="0"/>
  </r>
  <r>
    <n v="233"/>
    <s v="露伴"/>
    <x v="147"/>
    <x v="2"/>
    <m/>
    <s v="ok"/>
    <x v="0"/>
  </r>
  <r>
    <n v="234"/>
    <s v="はる"/>
    <x v="13"/>
    <x v="2"/>
    <m/>
    <s v="ok"/>
    <x v="0"/>
  </r>
  <r>
    <n v="235"/>
    <s v="ランプ"/>
    <x v="148"/>
    <x v="2"/>
    <m/>
    <s v="ok"/>
    <x v="0"/>
  </r>
  <r>
    <n v="236"/>
    <s v="ネギタン塩"/>
    <x v="90"/>
    <x v="2"/>
    <m/>
    <s v="ok"/>
    <x v="0"/>
  </r>
  <r>
    <n v="237"/>
    <s v="ひろたん"/>
    <x v="118"/>
    <x v="2"/>
    <m/>
    <s v="ok"/>
    <x v="0"/>
  </r>
  <r>
    <n v="238"/>
    <s v="シン・カギタ"/>
    <x v="149"/>
    <x v="2"/>
    <m/>
    <s v="ok"/>
    <x v="0"/>
  </r>
  <r>
    <n v="239"/>
    <s v="とまと"/>
    <x v="40"/>
    <x v="2"/>
    <m/>
    <s v="ok"/>
    <x v="0"/>
  </r>
  <r>
    <n v="240"/>
    <s v="イーブイ進化好き民"/>
    <x v="150"/>
    <x v="2"/>
    <s v="自爆系"/>
    <s v="ok"/>
    <x v="0"/>
  </r>
  <r>
    <n v="241"/>
    <s v="しず"/>
    <x v="125"/>
    <x v="2"/>
    <m/>
    <s v="ok"/>
    <x v="0"/>
  </r>
  <r>
    <n v="242"/>
    <s v="ゆうくん"/>
    <x v="139"/>
    <x v="2"/>
    <m/>
    <s v="ok"/>
    <x v="0"/>
  </r>
  <r>
    <n v="243"/>
    <s v="海苔"/>
    <x v="18"/>
    <x v="2"/>
    <m/>
    <s v="ok"/>
    <x v="0"/>
  </r>
  <r>
    <n v="244"/>
    <s v="裕貴"/>
    <x v="64"/>
    <x v="2"/>
    <m/>
    <s v="ok"/>
    <x v="0"/>
  </r>
  <r>
    <n v="245"/>
    <s v="とびこ"/>
    <x v="38"/>
    <x v="2"/>
    <s v="悪タイプ"/>
    <s v="error"/>
    <x v="0"/>
  </r>
  <r>
    <n v="246"/>
    <s v="オニチャン"/>
    <x v="151"/>
    <x v="2"/>
    <m/>
    <s v="ok"/>
    <x v="0"/>
  </r>
  <r>
    <n v="247"/>
    <s v="幸せ"/>
    <x v="46"/>
    <x v="2"/>
    <m/>
    <s v="ok"/>
    <x v="31"/>
  </r>
  <r>
    <n v="248"/>
    <s v="幸せ"/>
    <x v="152"/>
    <x v="2"/>
    <m/>
    <s v="ok"/>
    <x v="31"/>
  </r>
  <r>
    <n v="249"/>
    <s v="幸せ"/>
    <x v="45"/>
    <x v="2"/>
    <m/>
    <s v="ok"/>
    <x v="31"/>
  </r>
  <r>
    <n v="250"/>
    <s v="たろう"/>
    <x v="153"/>
    <x v="2"/>
    <m/>
    <s v="ok"/>
    <x v="0"/>
  </r>
  <r>
    <n v="251"/>
    <s v="サバ缶"/>
    <x v="7"/>
    <x v="2"/>
    <m/>
    <s v="ok"/>
    <x v="32"/>
  </r>
  <r>
    <n v="252"/>
    <s v="サバ缶"/>
    <x v="154"/>
    <x v="2"/>
    <m/>
    <s v="ok"/>
    <x v="32"/>
  </r>
  <r>
    <n v="253"/>
    <s v="サバ缶"/>
    <x v="42"/>
    <x v="2"/>
    <m/>
    <s v="ok"/>
    <x v="32"/>
  </r>
  <r>
    <n v="254"/>
    <s v="pro手印"/>
    <x v="155"/>
    <x v="2"/>
    <s v="色違いムックル"/>
    <s v="ok"/>
    <x v="0"/>
  </r>
  <r>
    <n v="255"/>
    <s v="おきなわ"/>
    <x v="61"/>
    <x v="2"/>
    <m/>
    <s v="ok"/>
    <x v="0"/>
  </r>
  <r>
    <n v="256"/>
    <s v="ぶーちゃん"/>
    <x v="64"/>
    <x v="2"/>
    <m/>
    <s v="ok"/>
    <x v="0"/>
  </r>
  <r>
    <n v="257"/>
    <s v="主食チョコワ"/>
    <x v="156"/>
    <x v="2"/>
    <m/>
    <s v="ok"/>
    <x v="0"/>
  </r>
  <r>
    <n v="258"/>
    <s v="まさ"/>
    <x v="157"/>
    <x v="2"/>
    <m/>
    <s v="ok"/>
    <x v="0"/>
  </r>
  <r>
    <n v="259"/>
    <s v="闇"/>
    <x v="158"/>
    <x v="2"/>
    <m/>
    <s v="ok"/>
    <x v="0"/>
  </r>
  <r>
    <n v="260"/>
    <s v="三ツ矢サイダー"/>
    <x v="159"/>
    <x v="2"/>
    <m/>
    <s v="ok"/>
    <x v="0"/>
  </r>
  <r>
    <n v="261"/>
    <s v="リラックマjr"/>
    <x v="105"/>
    <x v="2"/>
    <m/>
    <s v="ok"/>
    <x v="0"/>
  </r>
  <r>
    <n v="262"/>
    <s v="深海少年"/>
    <x v="61"/>
    <x v="2"/>
    <m/>
    <s v="ok"/>
    <x v="33"/>
  </r>
  <r>
    <n v="263"/>
    <s v="深海少年"/>
    <x v="160"/>
    <x v="2"/>
    <m/>
    <s v="ok"/>
    <x v="33"/>
  </r>
  <r>
    <n v="264"/>
    <s v="深海少年"/>
    <x v="161"/>
    <x v="2"/>
    <m/>
    <s v="ok"/>
    <x v="33"/>
  </r>
  <r>
    <n v="265"/>
    <s v="深海少年"/>
    <x v="1"/>
    <x v="2"/>
    <m/>
    <s v="ok"/>
    <x v="33"/>
  </r>
  <r>
    <n v="266"/>
    <s v="深海少年"/>
    <x v="162"/>
    <x v="2"/>
    <m/>
    <s v="ok"/>
    <x v="33"/>
  </r>
  <r>
    <n v="267"/>
    <s v="深海少年"/>
    <x v="24"/>
    <x v="2"/>
    <m/>
    <s v="ok"/>
    <x v="33"/>
  </r>
  <r>
    <n v="268"/>
    <s v="ゆきおじ"/>
    <x v="163"/>
    <x v="2"/>
    <m/>
    <s v="ok"/>
    <x v="34"/>
  </r>
  <r>
    <n v="269"/>
    <s v="ゆきおじ"/>
    <x v="164"/>
    <x v="2"/>
    <m/>
    <s v="ok"/>
    <x v="34"/>
  </r>
  <r>
    <n v="270"/>
    <s v="おべっかスマイリー豆腐"/>
    <x v="119"/>
    <x v="2"/>
    <m/>
    <s v="ok"/>
    <x v="0"/>
  </r>
  <r>
    <n v="271"/>
    <s v="lee汰"/>
    <x v="165"/>
    <x v="2"/>
    <m/>
    <s v="ok"/>
    <x v="35"/>
  </r>
  <r>
    <n v="272"/>
    <s v="lee汰"/>
    <x v="166"/>
    <x v="2"/>
    <m/>
    <s v="ok"/>
    <x v="35"/>
  </r>
  <r>
    <n v="273"/>
    <s v="いぬおっとせい"/>
    <x v="81"/>
    <x v="2"/>
    <m/>
    <s v="ok"/>
    <x v="0"/>
  </r>
  <r>
    <n v="274"/>
    <s v="捨て垢"/>
    <x v="167"/>
    <x v="2"/>
    <m/>
    <s v="ok"/>
    <x v="36"/>
  </r>
  <r>
    <n v="275"/>
    <s v="捨て垢"/>
    <x v="168"/>
    <x v="2"/>
    <m/>
    <s v="ok"/>
    <x v="36"/>
  </r>
  <r>
    <n v="276"/>
    <s v="捨て垢"/>
    <x v="144"/>
    <x v="2"/>
    <m/>
    <s v="ok"/>
    <x v="36"/>
  </r>
  <r>
    <n v="277"/>
    <s v="捨て垢"/>
    <x v="169"/>
    <x v="2"/>
    <m/>
    <s v="ok"/>
    <x v="36"/>
  </r>
  <r>
    <n v="278"/>
    <s v="捨て垢"/>
    <x v="170"/>
    <x v="2"/>
    <m/>
    <s v="ok"/>
    <x v="36"/>
  </r>
  <r>
    <n v="279"/>
    <s v="捨て垢"/>
    <x v="171"/>
    <x v="2"/>
    <m/>
    <s v="ok"/>
    <x v="36"/>
  </r>
  <r>
    <n v="280"/>
    <s v="あつくん"/>
    <x v="23"/>
    <x v="2"/>
    <s v="昔からの相棒がポッチャマで今はエンペルトに進化してそう"/>
    <s v="ok"/>
    <x v="0"/>
  </r>
  <r>
    <n v="281"/>
    <s v="かいせい"/>
    <x v="3"/>
    <x v="2"/>
    <m/>
    <s v="ok"/>
    <x v="0"/>
  </r>
  <r>
    <n v="282"/>
    <s v="ほかる"/>
    <x v="172"/>
    <x v="2"/>
    <s v="可愛いの言うと面白くないから意外とギルガルド"/>
    <s v="ok"/>
    <x v="0"/>
  </r>
  <r>
    <n v="283"/>
    <s v="安藤"/>
    <x v="38"/>
    <x v="2"/>
    <s v="積み技使いそう"/>
    <s v="error"/>
    <x v="0"/>
  </r>
  <r>
    <n v="284"/>
    <s v="唯斗"/>
    <x v="38"/>
    <x v="2"/>
    <s v="こう見えて一撃必殺系"/>
    <s v="error"/>
    <x v="0"/>
  </r>
  <r>
    <n v="285"/>
    <s v="佐々木"/>
    <x v="173"/>
    <x v="2"/>
    <m/>
    <s v="ok"/>
    <x v="37"/>
  </r>
  <r>
    <n v="286"/>
    <s v="佐々木"/>
    <x v="86"/>
    <x v="2"/>
    <m/>
    <s v="ok"/>
    <x v="37"/>
  </r>
  <r>
    <n v="287"/>
    <s v="佐々木"/>
    <x v="174"/>
    <x v="2"/>
    <m/>
    <s v="ok"/>
    <x v="37"/>
  </r>
  <r>
    <n v="288"/>
    <s v="佐々木"/>
    <x v="175"/>
    <x v="2"/>
    <m/>
    <s v="ok"/>
    <x v="37"/>
  </r>
  <r>
    <n v="289"/>
    <s v="佐々木"/>
    <x v="176"/>
    <x v="2"/>
    <m/>
    <s v="ok"/>
    <x v="37"/>
  </r>
  <r>
    <n v="290"/>
    <s v="佐々木"/>
    <x v="117"/>
    <x v="2"/>
    <m/>
    <s v="ok"/>
    <x v="37"/>
  </r>
  <r>
    <n v="291"/>
    <s v="桜海桃李"/>
    <x v="177"/>
    <x v="2"/>
    <s v="エスパー"/>
    <s v="ok"/>
    <x v="38"/>
  </r>
  <r>
    <n v="292"/>
    <s v="桜海桃李"/>
    <x v="81"/>
    <x v="2"/>
    <s v="エスパー"/>
    <s v="ok"/>
    <x v="38"/>
  </r>
  <r>
    <n v="293"/>
    <s v="たく"/>
    <x v="57"/>
    <x v="2"/>
    <m/>
    <s v="ok"/>
    <x v="0"/>
  </r>
  <r>
    <n v="294"/>
    <s v="グラス"/>
    <x v="73"/>
    <x v="2"/>
    <m/>
    <s v="ok"/>
    <x v="0"/>
  </r>
  <r>
    <n v="295"/>
    <s v="じゃがいも男爵"/>
    <x v="178"/>
    <x v="2"/>
    <s v="何気にギラティナで無双かましてきそう"/>
    <s v="ok"/>
    <x v="0"/>
  </r>
  <r>
    <n v="296"/>
    <s v="やや"/>
    <x v="146"/>
    <x v="2"/>
    <m/>
    <s v="ok"/>
    <x v="0"/>
  </r>
  <r>
    <n v="297"/>
    <s v="しゃかな"/>
    <x v="179"/>
    <x v="2"/>
    <m/>
    <s v="ok"/>
    <x v="0"/>
  </r>
  <r>
    <n v="298"/>
    <s v="ニンバス20001"/>
    <x v="3"/>
    <x v="2"/>
    <m/>
    <s v="ok"/>
    <x v="0"/>
  </r>
  <r>
    <n v="299"/>
    <s v="黒猫"/>
    <x v="164"/>
    <x v="2"/>
    <s v="トレーナーの性格が変わればモルペコもあくタイプになります"/>
    <s v="ok"/>
    <x v="0"/>
  </r>
  <r>
    <n v="300"/>
    <s v="あす"/>
    <x v="146"/>
    <x v="2"/>
    <m/>
    <s v="ok"/>
    <x v="0"/>
  </r>
  <r>
    <n v="301"/>
    <s v="あお"/>
    <x v="61"/>
    <x v="2"/>
    <m/>
    <s v="ok"/>
    <x v="0"/>
  </r>
  <r>
    <n v="302"/>
    <s v="のば"/>
    <x v="15"/>
    <x v="2"/>
    <m/>
    <s v="ok"/>
    <x v="0"/>
  </r>
  <r>
    <n v="303"/>
    <s v="まこ"/>
    <x v="108"/>
    <x v="2"/>
    <m/>
    <s v="ok"/>
    <x v="0"/>
  </r>
  <r>
    <n v="304"/>
    <s v="わっぱ"/>
    <x v="38"/>
    <x v="2"/>
    <s v="草タイプで特防高そうなポケモン"/>
    <s v="error"/>
    <x v="0"/>
  </r>
  <r>
    <n v="305"/>
    <s v="ひっさー"/>
    <x v="38"/>
    <x v="2"/>
    <s v="本人はピッピプリン使いたいのにゴーストタイプ使いになりそう"/>
    <s v="error"/>
    <x v="0"/>
  </r>
  <r>
    <n v="306"/>
    <s v="おっこつ"/>
    <x v="90"/>
    <x v="2"/>
    <m/>
    <s v="ok"/>
    <x v="0"/>
  </r>
  <r>
    <n v="307"/>
    <s v="不知火"/>
    <x v="38"/>
    <x v="2"/>
    <s v="ゴーストタイプ"/>
    <s v="error"/>
    <x v="0"/>
  </r>
  <r>
    <n v="308"/>
    <s v="ロベリア"/>
    <x v="180"/>
    <x v="2"/>
    <s v="甘える電磁波ハバタクカミ"/>
    <s v="ok"/>
    <x v="0"/>
  </r>
  <r>
    <n v="309"/>
    <s v="きらり"/>
    <x v="126"/>
    <x v="2"/>
    <m/>
    <s v="ok"/>
    <x v="0"/>
  </r>
  <r>
    <n v="310"/>
    <s v="悠"/>
    <x v="10"/>
    <x v="2"/>
    <s v="輝石ラッキー"/>
    <s v="ok"/>
    <x v="0"/>
  </r>
  <r>
    <n v="311"/>
    <s v="クロ96"/>
    <x v="124"/>
    <x v="2"/>
    <m/>
    <s v="ok"/>
    <x v="39"/>
  </r>
  <r>
    <n v="312"/>
    <s v="クロ96"/>
    <x v="42"/>
    <x v="2"/>
    <m/>
    <s v="ok"/>
    <x v="39"/>
  </r>
  <r>
    <n v="313"/>
    <s v="クロ96"/>
    <x v="181"/>
    <x v="2"/>
    <m/>
    <s v="ok"/>
    <x v="39"/>
  </r>
  <r>
    <n v="314"/>
    <s v="せやせや"/>
    <x v="182"/>
    <x v="2"/>
    <m/>
    <s v="ok"/>
    <x v="0"/>
  </r>
  <r>
    <n v="315"/>
    <s v="虎の絵文字"/>
    <x v="183"/>
    <x v="2"/>
    <m/>
    <s v="ok"/>
    <x v="0"/>
  </r>
  <r>
    <n v="316"/>
    <s v="アキラ"/>
    <x v="40"/>
    <x v="2"/>
    <m/>
    <s v="ok"/>
    <x v="0"/>
  </r>
  <r>
    <n v="317"/>
    <s v="呑気っちゃん"/>
    <x v="184"/>
    <x v="2"/>
    <s v="どう見ても"/>
    <s v="ok"/>
    <x v="0"/>
  </r>
  <r>
    <n v="318"/>
    <s v="あ"/>
    <x v="7"/>
    <x v="2"/>
    <m/>
    <s v="ok"/>
    <x v="0"/>
  </r>
  <r>
    <n v="319"/>
    <s v="みれい"/>
    <x v="185"/>
    <x v="2"/>
    <m/>
    <s v="ok"/>
    <x v="0"/>
  </r>
  <r>
    <n v="320"/>
    <s v="まさ"/>
    <x v="38"/>
    <x v="2"/>
    <s v="イーブイ系全種使ってくるイーブイマニア"/>
    <s v="error"/>
    <x v="0"/>
  </r>
  <r>
    <n v="321"/>
    <s v="うたくん"/>
    <x v="29"/>
    <x v="2"/>
    <m/>
    <s v="ok"/>
    <x v="0"/>
  </r>
  <r>
    <n v="322"/>
    <s v="ゆめ"/>
    <x v="81"/>
    <x v="2"/>
    <m/>
    <s v="ok"/>
    <x v="0"/>
  </r>
  <r>
    <n v="323"/>
    <s v="みるくぷりん"/>
    <x v="186"/>
    <x v="2"/>
    <m/>
    <s v="ok"/>
    <x v="40"/>
  </r>
  <r>
    <n v="324"/>
    <s v="みるくぷりん"/>
    <x v="39"/>
    <x v="2"/>
    <m/>
    <s v="ok"/>
    <x v="40"/>
  </r>
  <r>
    <n v="325"/>
    <s v="みるくぷりん"/>
    <x v="187"/>
    <x v="2"/>
    <m/>
    <s v="ok"/>
    <x v="40"/>
  </r>
  <r>
    <n v="326"/>
    <s v="みるくぷりん"/>
    <x v="188"/>
    <x v="2"/>
    <m/>
    <s v="ok"/>
    <x v="40"/>
  </r>
  <r>
    <n v="327"/>
    <s v="みるくぷりん"/>
    <x v="189"/>
    <x v="2"/>
    <m/>
    <s v="ok"/>
    <x v="40"/>
  </r>
  <r>
    <n v="328"/>
    <s v="みるくぷりん"/>
    <x v="190"/>
    <x v="2"/>
    <m/>
    <s v="ok"/>
    <x v="40"/>
  </r>
  <r>
    <n v="329"/>
    <s v="ちきん"/>
    <x v="38"/>
    <x v="2"/>
    <s v="伝説使いのタクト"/>
    <s v="error"/>
    <x v="0"/>
  </r>
  <r>
    <n v="330"/>
    <s v="あああ"/>
    <x v="88"/>
    <x v="2"/>
    <m/>
    <s v="ok"/>
    <x v="0"/>
  </r>
  <r>
    <n v="331"/>
    <s v="零"/>
    <x v="64"/>
    <x v="2"/>
    <m/>
    <s v="ok"/>
    <x v="0"/>
  </r>
  <r>
    <n v="332"/>
    <s v="roro"/>
    <x v="191"/>
    <x v="2"/>
    <m/>
    <s v="ok"/>
    <x v="0"/>
  </r>
  <r>
    <n v="333"/>
    <s v="haru"/>
    <x v="3"/>
    <x v="2"/>
    <m/>
    <s v="ok"/>
    <x v="41"/>
  </r>
  <r>
    <n v="334"/>
    <s v="haru"/>
    <x v="116"/>
    <x v="2"/>
    <m/>
    <s v="ok"/>
    <x v="41"/>
  </r>
  <r>
    <n v="335"/>
    <s v="ここまる"/>
    <x v="83"/>
    <x v="2"/>
    <m/>
    <s v="ok"/>
    <x v="0"/>
  </r>
  <r>
    <n v="336"/>
    <s v="芋"/>
    <x v="35"/>
    <x v="2"/>
    <s v="羽の生えたピカチュウ"/>
    <s v="ok"/>
    <x v="0"/>
  </r>
  <r>
    <n v="337"/>
    <s v="なゆ"/>
    <x v="124"/>
    <x v="2"/>
    <m/>
    <s v="ok"/>
    <x v="0"/>
  </r>
  <r>
    <n v="338"/>
    <s v="とと"/>
    <x v="3"/>
    <x v="2"/>
    <m/>
    <s v="ok"/>
    <x v="0"/>
  </r>
  <r>
    <n v="339"/>
    <s v="ゆいと"/>
    <x v="192"/>
    <x v="2"/>
    <m/>
    <s v="ok"/>
    <x v="0"/>
  </r>
  <r>
    <n v="340"/>
    <s v="しょお"/>
    <x v="193"/>
    <x v="2"/>
    <m/>
    <s v="ok"/>
    <x v="0"/>
  </r>
  <r>
    <n v="341"/>
    <s v="タク"/>
    <x v="194"/>
    <x v="2"/>
    <m/>
    <s v="ok"/>
    <x v="0"/>
  </r>
  <r>
    <n v="342"/>
    <s v="たくみん"/>
    <x v="195"/>
    <x v="2"/>
    <s v="フェアリー感ある"/>
    <s v="ok"/>
    <x v="0"/>
  </r>
  <r>
    <n v="343"/>
    <s v="ふみふみ"/>
    <x v="51"/>
    <x v="2"/>
    <s v="金銀のミカンを連想して"/>
    <s v="ok"/>
    <x v="0"/>
  </r>
  <r>
    <n v="344"/>
    <s v="ワスピネーター"/>
    <x v="128"/>
    <x v="2"/>
    <m/>
    <s v="ok"/>
    <x v="0"/>
  </r>
  <r>
    <n v="345"/>
    <s v="伊東餅太郎"/>
    <x v="60"/>
    <x v="2"/>
    <m/>
    <s v="ok"/>
    <x v="0"/>
  </r>
  <r>
    <n v="346"/>
    <s v="めいそ"/>
    <x v="3"/>
    <x v="2"/>
    <s v="ミミッキュひたすら出してきそう"/>
    <s v="ok"/>
    <x v="0"/>
  </r>
  <r>
    <n v="347"/>
    <s v="Yu"/>
    <x v="4"/>
    <x v="2"/>
    <m/>
    <s v="ok"/>
    <x v="0"/>
  </r>
  <r>
    <n v="348"/>
    <s v="狂人様"/>
    <x v="38"/>
    <x v="2"/>
    <s v="最初の3匹（の内1匹）だけ使ってそう"/>
    <s v="error"/>
    <x v="0"/>
  </r>
  <r>
    <n v="349"/>
    <s v="くま"/>
    <x v="125"/>
    <x v="2"/>
    <m/>
    <s v="ok"/>
    <x v="42"/>
  </r>
  <r>
    <n v="350"/>
    <s v="くま"/>
    <x v="196"/>
    <x v="2"/>
    <m/>
    <s v="ok"/>
    <x v="42"/>
  </r>
  <r>
    <n v="351"/>
    <s v="くま"/>
    <x v="61"/>
    <x v="2"/>
    <m/>
    <s v="ok"/>
    <x v="42"/>
  </r>
  <r>
    <n v="352"/>
    <s v="くま"/>
    <x v="18"/>
    <x v="2"/>
    <m/>
    <s v="ok"/>
    <x v="42"/>
  </r>
  <r>
    <n v="353"/>
    <s v="くま"/>
    <x v="197"/>
    <x v="2"/>
    <m/>
    <s v="ok"/>
    <x v="42"/>
  </r>
  <r>
    <n v="354"/>
    <s v="くま"/>
    <x v="15"/>
    <x v="2"/>
    <m/>
    <s v="ok"/>
    <x v="42"/>
  </r>
  <r>
    <n v="355"/>
    <s v="ちょむ"/>
    <x v="80"/>
    <x v="2"/>
    <m/>
    <s v="ok"/>
    <x v="0"/>
  </r>
  <r>
    <n v="356"/>
    <s v="さく"/>
    <x v="38"/>
    <x v="2"/>
    <s v="身代わりと守ると毒で倒してきそう"/>
    <s v="error"/>
    <x v="0"/>
  </r>
  <r>
    <n v="357"/>
    <s v="りゅうくん"/>
    <x v="39"/>
    <x v="2"/>
    <s v="真面目にプリン"/>
    <s v="ok"/>
    <x v="0"/>
  </r>
  <r>
    <n v="358"/>
    <s v="yosshi"/>
    <x v="64"/>
    <x v="2"/>
    <s v="色的に"/>
    <s v="ok"/>
    <x v="43"/>
  </r>
  <r>
    <n v="359"/>
    <s v="yosshi"/>
    <x v="198"/>
    <x v="2"/>
    <s v="色的に"/>
    <s v="ok"/>
    <x v="43"/>
  </r>
  <r>
    <n v="360"/>
    <s v="yosshi"/>
    <x v="199"/>
    <x v="2"/>
    <s v="色的に"/>
    <s v="ok"/>
    <x v="43"/>
  </r>
  <r>
    <n v="361"/>
    <s v="天ゃりーたまゅたまゅ"/>
    <x v="200"/>
    <x v="2"/>
    <m/>
    <s v="ok"/>
    <x v="0"/>
  </r>
  <r>
    <n v="362"/>
    <s v="かむろむろ"/>
    <x v="201"/>
    <x v="2"/>
    <s v="ふしぎなあめでカンストしたコイキングに「がいあく」ってつけてそう"/>
    <s v="ok"/>
    <x v="0"/>
  </r>
  <r>
    <n v="363"/>
    <s v="あどみん"/>
    <x v="202"/>
    <x v="2"/>
    <s v="ナットレイにゴツゴツメット持たせてそう"/>
    <s v="ok"/>
    <x v="0"/>
  </r>
  <r>
    <n v="364"/>
    <s v="楓"/>
    <x v="203"/>
    <x v="2"/>
    <m/>
    <s v="ok"/>
    <x v="0"/>
  </r>
  <r>
    <n v="365"/>
    <s v="怜"/>
    <x v="10"/>
    <x v="2"/>
    <m/>
    <s v="ok"/>
    <x v="0"/>
  </r>
  <r>
    <n v="366"/>
    <s v="柚木司"/>
    <x v="61"/>
    <x v="2"/>
    <m/>
    <s v="ok"/>
    <x v="0"/>
  </r>
  <r>
    <n v="367"/>
    <s v="なっとう"/>
    <x v="149"/>
    <x v="2"/>
    <m/>
    <s v="ok"/>
    <x v="0"/>
  </r>
  <r>
    <n v="368"/>
    <s v="にゃー"/>
    <x v="39"/>
    <x v="2"/>
    <m/>
    <s v="ok"/>
    <x v="44"/>
  </r>
  <r>
    <n v="369"/>
    <s v="にゃー"/>
    <x v="89"/>
    <x v="2"/>
    <m/>
    <s v="ok"/>
    <x v="44"/>
  </r>
  <r>
    <n v="370"/>
    <s v="にゃー"/>
    <x v="63"/>
    <x v="2"/>
    <m/>
    <s v="ok"/>
    <x v="44"/>
  </r>
  <r>
    <n v="371"/>
    <s v="めいゆー"/>
    <x v="149"/>
    <x v="2"/>
    <m/>
    <s v="ok"/>
    <x v="0"/>
  </r>
  <r>
    <n v="372"/>
    <s v="ぎんちゃん"/>
    <x v="47"/>
    <x v="2"/>
    <s v="タブンネ使ってそうだな　って思ってたら、本編で使ってたﾊﾊﾊﾊ"/>
    <s v="ok"/>
    <x v="0"/>
  </r>
  <r>
    <n v="373"/>
    <s v="ユウ"/>
    <x v="7"/>
    <x v="2"/>
    <m/>
    <s v="ok"/>
    <x v="0"/>
  </r>
  <r>
    <n v="374"/>
    <s v="コア・ラ"/>
    <x v="204"/>
    <x v="2"/>
    <m/>
    <s v="ok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">
  <r>
    <x v="0"/>
    <n v="10"/>
    <n v="5"/>
    <n v="5"/>
    <x v="0"/>
    <x v="0"/>
    <s v="ゴースト"/>
    <s v="フェアリー"/>
    <s v="一般人にもメジャー"/>
    <x v="0"/>
    <x v="0"/>
    <s v="かわいい"/>
    <s v="普通"/>
    <s v="普通"/>
    <s v="個性的"/>
    <s v="ガチポケ"/>
    <n v="5"/>
  </r>
  <r>
    <x v="1"/>
    <n v="8"/>
    <n v="5"/>
    <n v="3"/>
    <x v="0"/>
    <x v="0"/>
    <s v="ノーマル"/>
    <s v="フェアリー"/>
    <s v="一般人にもメジャー"/>
    <x v="1"/>
    <x v="0"/>
    <s v="かわいい"/>
    <s v="普通"/>
    <s v="普通"/>
    <s v="無難"/>
    <s v="進化前"/>
    <n v="5"/>
  </r>
  <r>
    <x v="2"/>
    <n v="6"/>
    <n v="5"/>
    <n v="1"/>
    <x v="1"/>
    <x v="1"/>
    <s v="ドラゴン"/>
    <s v="ひこう"/>
    <s v="既プレイ層にはメジャー"/>
    <x v="2"/>
    <x v="0"/>
    <s v="ややかわいい"/>
    <s v="ややかっこいい"/>
    <s v="普通"/>
    <s v="やや個性的"/>
    <s v="ガチポケ"/>
    <n v="5"/>
  </r>
  <r>
    <x v="3"/>
    <n v="8"/>
    <n v="3"/>
    <n v="5"/>
    <x v="0"/>
    <x v="0"/>
    <s v="エスパー"/>
    <s v="フェアリー"/>
    <m/>
    <x v="3"/>
    <x v="0"/>
    <m/>
    <m/>
    <m/>
    <m/>
    <m/>
    <n v="4"/>
  </r>
  <r>
    <x v="4"/>
    <n v="7"/>
    <n v="4"/>
    <n v="3"/>
    <x v="2"/>
    <x v="1"/>
    <s v="ゴースト"/>
    <s v="どく"/>
    <s v="一般人にもメジャー"/>
    <x v="4"/>
    <x v="0"/>
    <s v="ややかわいい"/>
    <s v="ややかっこいい"/>
    <s v="普通"/>
    <s v="個性的"/>
    <s v="ガチポケ"/>
    <n v="4"/>
  </r>
  <r>
    <x v="5"/>
    <n v="6"/>
    <n v="3"/>
    <n v="3"/>
    <x v="0"/>
    <x v="0"/>
    <s v="ノーマル"/>
    <n v="0"/>
    <m/>
    <x v="1"/>
    <x v="0"/>
    <m/>
    <m/>
    <m/>
    <m/>
    <m/>
    <n v="4"/>
  </r>
  <r>
    <x v="6"/>
    <n v="4"/>
    <n v="3"/>
    <n v="1"/>
    <x v="3"/>
    <x v="1"/>
    <s v="あく"/>
    <n v="0"/>
    <m/>
    <x v="5"/>
    <x v="0"/>
    <m/>
    <m/>
    <m/>
    <m/>
    <m/>
    <n v="4"/>
  </r>
  <r>
    <x v="7"/>
    <n v="4"/>
    <n v="1"/>
    <n v="3"/>
    <x v="0"/>
    <x v="0"/>
    <s v="はがね"/>
    <s v="エスパー"/>
    <m/>
    <x v="1"/>
    <x v="0"/>
    <m/>
    <m/>
    <m/>
    <m/>
    <m/>
    <n v="4"/>
  </r>
  <r>
    <x v="8"/>
    <n v="9"/>
    <n v="3"/>
    <n v="6"/>
    <x v="0"/>
    <x v="0"/>
    <s v="ノーマル"/>
    <n v="0"/>
    <s v="一般人にもメジャー"/>
    <x v="6"/>
    <x v="0"/>
    <s v="とてもかわいい"/>
    <s v="普通"/>
    <s v="普通"/>
    <s v="無難"/>
    <s v="進化前"/>
    <n v="3"/>
  </r>
  <r>
    <x v="9"/>
    <n v="5"/>
    <n v="2"/>
    <n v="3"/>
    <x v="0"/>
    <x v="0"/>
    <s v="フェアリー"/>
    <n v="0"/>
    <s v="既プレイ層にはメジャー"/>
    <x v="1"/>
    <x v="0"/>
    <s v="かわいい"/>
    <s v="普通"/>
    <s v="普通"/>
    <s v="無難"/>
    <s v="弱い"/>
    <n v="3"/>
  </r>
  <r>
    <x v="10"/>
    <n v="5"/>
    <n v="5"/>
    <n v="0"/>
    <x v="0"/>
    <x v="0"/>
    <s v="フェアリー"/>
    <n v="0"/>
    <s v="既プレイ層にはメジャー"/>
    <x v="7"/>
    <x v="0"/>
    <s v="かわいい"/>
    <s v="普通"/>
    <s v="普通"/>
    <s v="無難"/>
    <s v="進化前"/>
    <n v="3"/>
  </r>
  <r>
    <x v="11"/>
    <n v="4"/>
    <n v="2"/>
    <n v="2"/>
    <x v="0"/>
    <x v="0"/>
    <s v="ノーマル"/>
    <n v="0"/>
    <m/>
    <x v="1"/>
    <x v="0"/>
    <m/>
    <m/>
    <m/>
    <m/>
    <m/>
    <n v="3"/>
  </r>
  <r>
    <x v="12"/>
    <n v="4"/>
    <n v="1"/>
    <n v="3"/>
    <x v="0"/>
    <x v="0"/>
    <s v="ノーマル"/>
    <n v="0"/>
    <m/>
    <x v="8"/>
    <x v="0"/>
    <m/>
    <m/>
    <m/>
    <m/>
    <m/>
    <n v="3"/>
  </r>
  <r>
    <x v="13"/>
    <n v="3"/>
    <n v="2"/>
    <n v="1"/>
    <x v="0"/>
    <x v="0"/>
    <s v="ゴースト"/>
    <s v="ほのお"/>
    <s v="既プレイ層にはメジャー"/>
    <x v="9"/>
    <x v="0"/>
    <s v="かわいい"/>
    <s v="普通"/>
    <s v="きれい"/>
    <m/>
    <s v="普通"/>
    <n v="3"/>
  </r>
  <r>
    <x v="14"/>
    <n v="6"/>
    <n v="3"/>
    <n v="3"/>
    <x v="0"/>
    <x v="0"/>
    <s v="ノーマル"/>
    <s v="フェアリー"/>
    <s v="既プレイ層にはメジャー"/>
    <x v="1"/>
    <x v="0"/>
    <s v="かわいい"/>
    <s v="普通"/>
    <s v="普通"/>
    <s v="無難"/>
    <s v="弱い"/>
    <n v="2"/>
  </r>
  <r>
    <x v="15"/>
    <n v="6"/>
    <n v="3"/>
    <n v="3"/>
    <x v="0"/>
    <x v="0"/>
    <s v="フェアリー"/>
    <n v="0"/>
    <m/>
    <x v="10"/>
    <x v="0"/>
    <m/>
    <m/>
    <m/>
    <m/>
    <m/>
    <n v="2"/>
  </r>
  <r>
    <x v="16"/>
    <n v="3"/>
    <n v="1"/>
    <n v="2"/>
    <x v="0"/>
    <x v="0"/>
    <s v="フェアリー"/>
    <n v="0"/>
    <m/>
    <x v="11"/>
    <x v="0"/>
    <m/>
    <m/>
    <m/>
    <m/>
    <m/>
    <n v="2"/>
  </r>
  <r>
    <x v="17"/>
    <n v="3"/>
    <n v="2"/>
    <n v="1"/>
    <x v="4"/>
    <x v="0"/>
    <s v="くさ"/>
    <s v="どく"/>
    <m/>
    <x v="12"/>
    <x v="0"/>
    <m/>
    <m/>
    <m/>
    <m/>
    <m/>
    <n v="2"/>
  </r>
  <r>
    <x v="18"/>
    <n v="3"/>
    <n v="2"/>
    <n v="1"/>
    <x v="5"/>
    <x v="1"/>
    <s v="ノーマル"/>
    <n v="0"/>
    <m/>
    <x v="13"/>
    <x v="0"/>
    <m/>
    <m/>
    <m/>
    <m/>
    <m/>
    <n v="2"/>
  </r>
  <r>
    <x v="19"/>
    <n v="3"/>
    <n v="2"/>
    <n v="1"/>
    <x v="3"/>
    <x v="1"/>
    <s v="ドラゴン"/>
    <s v="ひこう"/>
    <m/>
    <x v="14"/>
    <x v="0"/>
    <m/>
    <m/>
    <m/>
    <m/>
    <m/>
    <n v="2"/>
  </r>
  <r>
    <x v="20"/>
    <n v="3"/>
    <n v="1"/>
    <n v="2"/>
    <x v="0"/>
    <x v="0"/>
    <s v="フェアリー"/>
    <s v="ひこう"/>
    <m/>
    <x v="15"/>
    <x v="0"/>
    <m/>
    <m/>
    <m/>
    <m/>
    <m/>
    <n v="2"/>
  </r>
  <r>
    <x v="21"/>
    <n v="2"/>
    <n v="2"/>
    <n v="0"/>
    <x v="6"/>
    <x v="1"/>
    <s v="かくとう"/>
    <n v="0"/>
    <m/>
    <x v="12"/>
    <x v="1"/>
    <m/>
    <m/>
    <m/>
    <m/>
    <m/>
    <n v="2"/>
  </r>
  <r>
    <x v="22"/>
    <n v="2"/>
    <n v="2"/>
    <n v="0"/>
    <x v="0"/>
    <x v="1"/>
    <s v="どく"/>
    <s v="じめん"/>
    <m/>
    <x v="12"/>
    <x v="1"/>
    <m/>
    <m/>
    <m/>
    <m/>
    <m/>
    <n v="2"/>
  </r>
  <r>
    <x v="23"/>
    <n v="2"/>
    <n v="2"/>
    <n v="0"/>
    <x v="6"/>
    <x v="1"/>
    <s v="かくとう"/>
    <s v="ゴースト"/>
    <m/>
    <x v="16"/>
    <x v="1"/>
    <m/>
    <m/>
    <m/>
    <m/>
    <m/>
    <n v="2"/>
  </r>
  <r>
    <x v="24"/>
    <n v="2"/>
    <n v="1"/>
    <n v="1"/>
    <x v="3"/>
    <x v="1"/>
    <s v="かくとう"/>
    <s v="はがね"/>
    <m/>
    <x v="12"/>
    <x v="1"/>
    <m/>
    <m/>
    <m/>
    <m/>
    <m/>
    <n v="2"/>
  </r>
  <r>
    <x v="25"/>
    <n v="2"/>
    <n v="1"/>
    <n v="1"/>
    <x v="4"/>
    <x v="1"/>
    <s v="ゴースト"/>
    <s v="どく"/>
    <m/>
    <x v="12"/>
    <x v="1"/>
    <m/>
    <m/>
    <m/>
    <m/>
    <m/>
    <n v="2"/>
  </r>
  <r>
    <x v="26"/>
    <n v="2"/>
    <n v="1"/>
    <n v="1"/>
    <x v="0"/>
    <x v="0"/>
    <s v="ノーマル"/>
    <n v="0"/>
    <m/>
    <x v="12"/>
    <x v="1"/>
    <m/>
    <m/>
    <m/>
    <m/>
    <m/>
    <n v="2"/>
  </r>
  <r>
    <x v="27"/>
    <n v="4"/>
    <n v="2"/>
    <n v="2"/>
    <x v="0"/>
    <x v="0"/>
    <s v="でんき"/>
    <n v="0"/>
    <m/>
    <x v="1"/>
    <x v="0"/>
    <m/>
    <m/>
    <m/>
    <m/>
    <m/>
    <n v="1"/>
  </r>
  <r>
    <x v="28"/>
    <n v="4"/>
    <n v="1"/>
    <n v="3"/>
    <x v="4"/>
    <x v="1"/>
    <s v="ノーマル"/>
    <n v="0"/>
    <m/>
    <x v="1"/>
    <x v="0"/>
    <m/>
    <m/>
    <m/>
    <m/>
    <m/>
    <n v="1"/>
  </r>
  <r>
    <x v="29"/>
    <n v="4"/>
    <n v="1"/>
    <n v="3"/>
    <x v="0"/>
    <x v="0"/>
    <s v="エスパー"/>
    <n v="0"/>
    <m/>
    <x v="1"/>
    <x v="0"/>
    <m/>
    <m/>
    <m/>
    <m/>
    <m/>
    <n v="1"/>
  </r>
  <r>
    <x v="30"/>
    <n v="4"/>
    <n v="1"/>
    <n v="3"/>
    <x v="1"/>
    <x v="1"/>
    <s v="じめん"/>
    <n v="0"/>
    <m/>
    <x v="12"/>
    <x v="0"/>
    <m/>
    <m/>
    <m/>
    <m/>
    <m/>
    <n v="1"/>
  </r>
  <r>
    <x v="31"/>
    <n v="2"/>
    <n v="2"/>
    <n v="0"/>
    <x v="7"/>
    <x v="1"/>
    <s v="ノーマル"/>
    <n v="0"/>
    <m/>
    <x v="12"/>
    <x v="1"/>
    <m/>
    <m/>
    <m/>
    <m/>
    <m/>
    <n v="1"/>
  </r>
  <r>
    <x v="32"/>
    <n v="2"/>
    <n v="2"/>
    <n v="0"/>
    <x v="4"/>
    <x v="1"/>
    <s v="ノーマル"/>
    <s v="ひこう"/>
    <m/>
    <x v="12"/>
    <x v="1"/>
    <m/>
    <m/>
    <m/>
    <m/>
    <m/>
    <n v="1"/>
  </r>
  <r>
    <x v="33"/>
    <n v="2"/>
    <n v="2"/>
    <n v="0"/>
    <x v="7"/>
    <x v="1"/>
    <s v="エスパー"/>
    <n v="0"/>
    <s v="ややマイナー"/>
    <x v="12"/>
    <x v="1"/>
    <s v="ある意味かわいい"/>
    <s v="普通"/>
    <s v="普通"/>
    <m/>
    <s v="普通"/>
    <n v="1"/>
  </r>
  <r>
    <x v="34"/>
    <n v="2"/>
    <n v="2"/>
    <n v="0"/>
    <x v="3"/>
    <x v="1"/>
    <s v="ほのお"/>
    <s v="ひこう"/>
    <m/>
    <x v="17"/>
    <x v="1"/>
    <m/>
    <m/>
    <m/>
    <m/>
    <m/>
    <n v="1"/>
  </r>
  <r>
    <x v="35"/>
    <n v="2"/>
    <n v="2"/>
    <n v="0"/>
    <x v="6"/>
    <x v="1"/>
    <s v="はがね"/>
    <s v="じめん"/>
    <m/>
    <x v="18"/>
    <x v="1"/>
    <m/>
    <m/>
    <m/>
    <m/>
    <m/>
    <n v="1"/>
  </r>
  <r>
    <x v="36"/>
    <n v="2"/>
    <n v="2"/>
    <n v="0"/>
    <x v="6"/>
    <x v="1"/>
    <s v="みず"/>
    <s v="ひこう"/>
    <m/>
    <x v="2"/>
    <x v="1"/>
    <m/>
    <m/>
    <m/>
    <m/>
    <m/>
    <n v="1"/>
  </r>
  <r>
    <x v="37"/>
    <n v="2"/>
    <n v="2"/>
    <n v="0"/>
    <x v="6"/>
    <x v="1"/>
    <s v="あく"/>
    <s v="フェアリー"/>
    <m/>
    <x v="19"/>
    <x v="1"/>
    <m/>
    <m/>
    <m/>
    <m/>
    <m/>
    <n v="1"/>
  </r>
  <r>
    <x v="38"/>
    <n v="2"/>
    <n v="2"/>
    <n v="0"/>
    <x v="0"/>
    <x v="0"/>
    <s v="くさ"/>
    <n v="0"/>
    <m/>
    <x v="12"/>
    <x v="1"/>
    <m/>
    <m/>
    <m/>
    <m/>
    <m/>
    <n v="1"/>
  </r>
  <r>
    <x v="39"/>
    <n v="2"/>
    <n v="1"/>
    <n v="1"/>
    <x v="6"/>
    <x v="1"/>
    <s v="ノーマル"/>
    <n v="0"/>
    <m/>
    <x v="12"/>
    <x v="1"/>
    <m/>
    <m/>
    <m/>
    <m/>
    <m/>
    <n v="1"/>
  </r>
  <r>
    <x v="40"/>
    <n v="2"/>
    <n v="1"/>
    <n v="1"/>
    <x v="3"/>
    <x v="1"/>
    <s v="みず"/>
    <s v="はがね"/>
    <m/>
    <x v="12"/>
    <x v="1"/>
    <m/>
    <m/>
    <m/>
    <m/>
    <m/>
    <n v="1"/>
  </r>
  <r>
    <x v="41"/>
    <n v="2"/>
    <n v="1"/>
    <n v="1"/>
    <x v="5"/>
    <x v="1"/>
    <s v="みず"/>
    <n v="0"/>
    <m/>
    <x v="12"/>
    <x v="1"/>
    <m/>
    <m/>
    <m/>
    <m/>
    <m/>
    <n v="1"/>
  </r>
  <r>
    <x v="42"/>
    <n v="2"/>
    <n v="1"/>
    <n v="1"/>
    <x v="0"/>
    <x v="0"/>
    <s v="でんき"/>
    <n v="0"/>
    <m/>
    <x v="12"/>
    <x v="1"/>
    <m/>
    <m/>
    <m/>
    <m/>
    <m/>
    <n v="1"/>
  </r>
  <r>
    <x v="43"/>
    <n v="2"/>
    <n v="1"/>
    <n v="1"/>
    <x v="4"/>
    <x v="0"/>
    <s v="むし"/>
    <n v="0"/>
    <m/>
    <x v="12"/>
    <x v="1"/>
    <m/>
    <m/>
    <m/>
    <m/>
    <m/>
    <n v="1"/>
  </r>
  <r>
    <x v="44"/>
    <n v="2"/>
    <n v="1"/>
    <n v="1"/>
    <x v="0"/>
    <x v="0"/>
    <s v="フェアリー"/>
    <s v="はがね"/>
    <m/>
    <x v="20"/>
    <x v="1"/>
    <m/>
    <m/>
    <m/>
    <m/>
    <m/>
    <n v="1"/>
  </r>
  <r>
    <x v="45"/>
    <n v="2"/>
    <n v="1"/>
    <n v="1"/>
    <x v="0"/>
    <x v="0"/>
    <s v="くさ"/>
    <n v="0"/>
    <m/>
    <x v="12"/>
    <x v="1"/>
    <m/>
    <m/>
    <m/>
    <m/>
    <m/>
    <n v="1"/>
  </r>
  <r>
    <x v="46"/>
    <n v="2"/>
    <n v="1"/>
    <n v="1"/>
    <x v="2"/>
    <x v="1"/>
    <s v="ゴースト"/>
    <n v="0"/>
    <m/>
    <x v="12"/>
    <x v="1"/>
    <m/>
    <m/>
    <m/>
    <m/>
    <m/>
    <n v="1"/>
  </r>
  <r>
    <x v="47"/>
    <n v="2"/>
    <n v="1"/>
    <n v="1"/>
    <x v="6"/>
    <x v="1"/>
    <s v="かくとう"/>
    <n v="0"/>
    <m/>
    <x v="12"/>
    <x v="1"/>
    <m/>
    <m/>
    <m/>
    <m/>
    <m/>
    <n v="1"/>
  </r>
  <r>
    <x v="48"/>
    <n v="2"/>
    <n v="0"/>
    <n v="2"/>
    <x v="8"/>
    <x v="1"/>
    <s v="じめん"/>
    <s v="でんき"/>
    <m/>
    <x v="12"/>
    <x v="1"/>
    <m/>
    <m/>
    <m/>
    <m/>
    <m/>
    <n v="1"/>
  </r>
  <r>
    <x v="49"/>
    <n v="2"/>
    <n v="0"/>
    <n v="2"/>
    <x v="0"/>
    <x v="0"/>
    <s v="あく"/>
    <s v="でんき"/>
    <m/>
    <x v="12"/>
    <x v="1"/>
    <m/>
    <m/>
    <m/>
    <m/>
    <m/>
    <n v="1"/>
  </r>
  <r>
    <x v="50"/>
    <n v="2"/>
    <n v="1"/>
    <n v="1"/>
    <x v="0"/>
    <x v="0"/>
    <s v="ノーマル"/>
    <n v="0"/>
    <m/>
    <x v="12"/>
    <x v="1"/>
    <m/>
    <m/>
    <m/>
    <m/>
    <m/>
    <n v="1"/>
  </r>
  <r>
    <x v="51"/>
    <n v="2"/>
    <n v="1"/>
    <n v="1"/>
    <x v="0"/>
    <x v="0"/>
    <s v="くさ"/>
    <n v="0"/>
    <m/>
    <x v="12"/>
    <x v="1"/>
    <m/>
    <m/>
    <m/>
    <m/>
    <m/>
    <n v="1"/>
  </r>
  <r>
    <x v="52"/>
    <n v="1"/>
    <n v="0"/>
    <n v="1"/>
    <x v="0"/>
    <x v="0"/>
    <s v="ドラゴン"/>
    <s v="ひこう"/>
    <m/>
    <x v="12"/>
    <x v="1"/>
    <m/>
    <m/>
    <m/>
    <m/>
    <m/>
    <n v="1"/>
  </r>
  <r>
    <x v="53"/>
    <n v="1"/>
    <n v="1"/>
    <n v="0"/>
    <x v="6"/>
    <x v="0"/>
    <s v="フェアリー"/>
    <n v="0"/>
    <m/>
    <x v="12"/>
    <x v="1"/>
    <m/>
    <m/>
    <m/>
    <m/>
    <m/>
    <n v="1"/>
  </r>
  <r>
    <x v="54"/>
    <n v="1"/>
    <n v="1"/>
    <n v="0"/>
    <x v="7"/>
    <x v="1"/>
    <s v="ノーマル"/>
    <n v="0"/>
    <m/>
    <x v="12"/>
    <x v="1"/>
    <m/>
    <m/>
    <m/>
    <m/>
    <m/>
    <n v="1"/>
  </r>
  <r>
    <x v="55"/>
    <n v="1"/>
    <n v="1"/>
    <n v="0"/>
    <x v="0"/>
    <x v="0"/>
    <s v="ノーマル"/>
    <n v="0"/>
    <m/>
    <x v="12"/>
    <x v="1"/>
    <m/>
    <m/>
    <m/>
    <m/>
    <m/>
    <n v="1"/>
  </r>
  <r>
    <x v="56"/>
    <n v="1"/>
    <n v="1"/>
    <n v="0"/>
    <x v="0"/>
    <x v="0"/>
    <s v="ノーマル"/>
    <n v="0"/>
    <m/>
    <x v="12"/>
    <x v="1"/>
    <m/>
    <m/>
    <m/>
    <m/>
    <m/>
    <n v="1"/>
  </r>
  <r>
    <x v="57"/>
    <n v="1"/>
    <n v="1"/>
    <n v="0"/>
    <x v="3"/>
    <x v="1"/>
    <s v="みず"/>
    <s v="あく"/>
    <m/>
    <x v="12"/>
    <x v="1"/>
    <m/>
    <m/>
    <m/>
    <m/>
    <m/>
    <n v="1"/>
  </r>
  <r>
    <x v="58"/>
    <n v="1"/>
    <n v="1"/>
    <n v="0"/>
    <x v="0"/>
    <x v="0"/>
    <s v="でんき"/>
    <n v="0"/>
    <m/>
    <x v="12"/>
    <x v="1"/>
    <m/>
    <m/>
    <m/>
    <m/>
    <m/>
    <n v="1"/>
  </r>
  <r>
    <x v="59"/>
    <n v="1"/>
    <n v="1"/>
    <n v="0"/>
    <x v="0"/>
    <x v="0"/>
    <s v="でんき"/>
    <n v="0"/>
    <m/>
    <x v="12"/>
    <x v="1"/>
    <m/>
    <m/>
    <m/>
    <m/>
    <m/>
    <n v="1"/>
  </r>
  <r>
    <x v="60"/>
    <n v="1"/>
    <n v="1"/>
    <n v="0"/>
    <x v="5"/>
    <x v="1"/>
    <s v="みず"/>
    <n v="0"/>
    <m/>
    <x v="12"/>
    <x v="1"/>
    <m/>
    <m/>
    <m/>
    <m/>
    <m/>
    <n v="1"/>
  </r>
  <r>
    <x v="61"/>
    <n v="1"/>
    <n v="1"/>
    <n v="0"/>
    <x v="5"/>
    <x v="1"/>
    <s v="みず"/>
    <s v="どく"/>
    <m/>
    <x v="12"/>
    <x v="1"/>
    <m/>
    <m/>
    <m/>
    <m/>
    <m/>
    <n v="1"/>
  </r>
  <r>
    <x v="62"/>
    <n v="1"/>
    <n v="1"/>
    <n v="0"/>
    <x v="7"/>
    <x v="1"/>
    <s v="でんき"/>
    <s v="はがね"/>
    <m/>
    <x v="12"/>
    <x v="1"/>
    <m/>
    <m/>
    <m/>
    <m/>
    <m/>
    <n v="1"/>
  </r>
  <r>
    <x v="63"/>
    <n v="1"/>
    <n v="1"/>
    <n v="0"/>
    <x v="0"/>
    <x v="0"/>
    <s v="エスパー"/>
    <n v="0"/>
    <m/>
    <x v="12"/>
    <x v="1"/>
    <m/>
    <m/>
    <m/>
    <m/>
    <m/>
    <n v="1"/>
  </r>
  <r>
    <x v="64"/>
    <n v="1"/>
    <n v="1"/>
    <n v="0"/>
    <x v="5"/>
    <x v="1"/>
    <s v="くさ"/>
    <s v="どく"/>
    <m/>
    <x v="12"/>
    <x v="1"/>
    <m/>
    <m/>
    <m/>
    <m/>
    <m/>
    <n v="1"/>
  </r>
  <r>
    <x v="65"/>
    <n v="1"/>
    <n v="1"/>
    <n v="0"/>
    <x v="5"/>
    <x v="1"/>
    <s v="くさ"/>
    <s v="どく"/>
    <m/>
    <x v="12"/>
    <x v="1"/>
    <m/>
    <m/>
    <m/>
    <m/>
    <m/>
    <n v="1"/>
  </r>
  <r>
    <x v="66"/>
    <n v="1"/>
    <n v="1"/>
    <n v="0"/>
    <x v="0"/>
    <x v="0"/>
    <s v="みず"/>
    <s v="いわ"/>
    <m/>
    <x v="12"/>
    <x v="1"/>
    <m/>
    <m/>
    <m/>
    <m/>
    <m/>
    <n v="1"/>
  </r>
  <r>
    <x v="67"/>
    <n v="1"/>
    <n v="1"/>
    <n v="0"/>
    <x v="3"/>
    <x v="1"/>
    <s v="ノーマル"/>
    <s v="ひこう"/>
    <m/>
    <x v="12"/>
    <x v="1"/>
    <m/>
    <m/>
    <m/>
    <m/>
    <m/>
    <n v="1"/>
  </r>
  <r>
    <x v="68"/>
    <n v="1"/>
    <n v="1"/>
    <n v="0"/>
    <x v="1"/>
    <x v="1"/>
    <s v="こおり"/>
    <s v="ひこう"/>
    <m/>
    <x v="12"/>
    <x v="1"/>
    <m/>
    <m/>
    <m/>
    <m/>
    <m/>
    <n v="1"/>
  </r>
  <r>
    <x v="69"/>
    <n v="1"/>
    <n v="1"/>
    <n v="0"/>
    <x v="4"/>
    <x v="0"/>
    <s v="みず"/>
    <n v="0"/>
    <m/>
    <x v="12"/>
    <x v="1"/>
    <m/>
    <m/>
    <m/>
    <m/>
    <m/>
    <n v="1"/>
  </r>
  <r>
    <x v="70"/>
    <n v="1"/>
    <n v="1"/>
    <n v="0"/>
    <x v="1"/>
    <x v="1"/>
    <s v="エスパー"/>
    <n v="0"/>
    <m/>
    <x v="21"/>
    <x v="1"/>
    <m/>
    <m/>
    <m/>
    <m/>
    <m/>
    <n v="1"/>
  </r>
  <r>
    <x v="71"/>
    <n v="1"/>
    <n v="1"/>
    <n v="0"/>
    <x v="6"/>
    <x v="1"/>
    <s v="こおり"/>
    <n v="0"/>
    <m/>
    <x v="22"/>
    <x v="1"/>
    <m/>
    <m/>
    <m/>
    <m/>
    <m/>
    <n v="1"/>
  </r>
  <r>
    <x v="72"/>
    <n v="1"/>
    <n v="1"/>
    <n v="0"/>
    <x v="0"/>
    <x v="0"/>
    <s v="フェアリー"/>
    <s v="はがね"/>
    <m/>
    <x v="12"/>
    <x v="1"/>
    <m/>
    <m/>
    <m/>
    <m/>
    <m/>
    <n v="1"/>
  </r>
  <r>
    <x v="73"/>
    <n v="1"/>
    <n v="1"/>
    <n v="0"/>
    <x v="0"/>
    <x v="0"/>
    <s v="どく"/>
    <n v="0"/>
    <m/>
    <x v="12"/>
    <x v="1"/>
    <m/>
    <m/>
    <m/>
    <m/>
    <m/>
    <n v="1"/>
  </r>
  <r>
    <x v="74"/>
    <n v="1"/>
    <n v="1"/>
    <n v="0"/>
    <x v="4"/>
    <x v="1"/>
    <s v="ゴースト"/>
    <s v="どく"/>
    <m/>
    <x v="12"/>
    <x v="1"/>
    <m/>
    <m/>
    <m/>
    <m/>
    <m/>
    <n v="1"/>
  </r>
  <r>
    <x v="75"/>
    <n v="1"/>
    <n v="1"/>
    <n v="0"/>
    <x v="8"/>
    <x v="1"/>
    <s v="かくとう"/>
    <n v="0"/>
    <m/>
    <x v="12"/>
    <x v="1"/>
    <m/>
    <m/>
    <m/>
    <m/>
    <m/>
    <n v="1"/>
  </r>
  <r>
    <x v="76"/>
    <n v="1"/>
    <n v="1"/>
    <n v="0"/>
    <x v="8"/>
    <x v="1"/>
    <s v="みず"/>
    <s v="じめん"/>
    <m/>
    <x v="12"/>
    <x v="1"/>
    <m/>
    <m/>
    <m/>
    <m/>
    <m/>
    <n v="1"/>
  </r>
  <r>
    <x v="77"/>
    <n v="1"/>
    <n v="1"/>
    <n v="0"/>
    <x v="8"/>
    <x v="1"/>
    <s v="かくとう"/>
    <n v="0"/>
    <m/>
    <x v="12"/>
    <x v="1"/>
    <m/>
    <m/>
    <m/>
    <m/>
    <m/>
    <n v="1"/>
  </r>
  <r>
    <x v="78"/>
    <n v="1"/>
    <n v="1"/>
    <n v="0"/>
    <x v="6"/>
    <x v="1"/>
    <s v="ドラゴン"/>
    <n v="0"/>
    <m/>
    <x v="12"/>
    <x v="1"/>
    <m/>
    <m/>
    <m/>
    <m/>
    <m/>
    <n v="1"/>
  </r>
  <r>
    <x v="79"/>
    <n v="1"/>
    <n v="1"/>
    <n v="0"/>
    <x v="4"/>
    <x v="1"/>
    <s v="じめん"/>
    <n v="0"/>
    <m/>
    <x v="12"/>
    <x v="1"/>
    <m/>
    <m/>
    <m/>
    <m/>
    <m/>
    <n v="1"/>
  </r>
  <r>
    <x v="80"/>
    <n v="1"/>
    <n v="1"/>
    <n v="0"/>
    <x v="7"/>
    <x v="1"/>
    <s v="いわ"/>
    <n v="0"/>
    <m/>
    <x v="12"/>
    <x v="1"/>
    <m/>
    <m/>
    <m/>
    <m/>
    <m/>
    <n v="1"/>
  </r>
  <r>
    <x v="81"/>
    <n v="1"/>
    <n v="1"/>
    <n v="0"/>
    <x v="0"/>
    <x v="0"/>
    <s v="こおり"/>
    <s v="ゴースト"/>
    <m/>
    <x v="12"/>
    <x v="1"/>
    <m/>
    <m/>
    <m/>
    <m/>
    <m/>
    <n v="1"/>
  </r>
  <r>
    <x v="82"/>
    <n v="1"/>
    <n v="1"/>
    <n v="0"/>
    <x v="4"/>
    <x v="1"/>
    <s v="いわ"/>
    <s v="エスパー"/>
    <m/>
    <x v="12"/>
    <x v="1"/>
    <m/>
    <m/>
    <m/>
    <m/>
    <m/>
    <n v="1"/>
  </r>
  <r>
    <x v="83"/>
    <n v="1"/>
    <n v="1"/>
    <n v="0"/>
    <x v="6"/>
    <x v="1"/>
    <s v="ゴースト"/>
    <s v="くさ"/>
    <m/>
    <x v="12"/>
    <x v="1"/>
    <m/>
    <m/>
    <m/>
    <m/>
    <m/>
    <n v="1"/>
  </r>
  <r>
    <x v="84"/>
    <n v="1"/>
    <n v="1"/>
    <n v="0"/>
    <x v="3"/>
    <x v="1"/>
    <s v="むし"/>
    <s v="はがね"/>
    <m/>
    <x v="12"/>
    <x v="1"/>
    <m/>
    <m/>
    <m/>
    <m/>
    <m/>
    <n v="1"/>
  </r>
  <r>
    <x v="85"/>
    <n v="1"/>
    <n v="1"/>
    <n v="0"/>
    <x v="6"/>
    <x v="1"/>
    <s v="くさ"/>
    <n v="0"/>
    <m/>
    <x v="12"/>
    <x v="1"/>
    <m/>
    <m/>
    <m/>
    <m/>
    <m/>
    <n v="1"/>
  </r>
  <r>
    <x v="86"/>
    <n v="1"/>
    <n v="1"/>
    <n v="0"/>
    <x v="7"/>
    <x v="1"/>
    <s v="でんき"/>
    <s v="みず"/>
    <m/>
    <x v="12"/>
    <x v="1"/>
    <m/>
    <m/>
    <m/>
    <m/>
    <m/>
    <n v="1"/>
  </r>
  <r>
    <x v="87"/>
    <n v="1"/>
    <n v="1"/>
    <n v="0"/>
    <x v="0"/>
    <x v="0"/>
    <s v="くさ"/>
    <n v="0"/>
    <m/>
    <x v="12"/>
    <x v="1"/>
    <m/>
    <m/>
    <m/>
    <m/>
    <m/>
    <n v="1"/>
  </r>
  <r>
    <x v="88"/>
    <n v="1"/>
    <n v="1"/>
    <n v="0"/>
    <x v="0"/>
    <x v="0"/>
    <s v="くさ"/>
    <s v="ひこう"/>
    <m/>
    <x v="12"/>
    <x v="1"/>
    <m/>
    <m/>
    <m/>
    <m/>
    <m/>
    <n v="1"/>
  </r>
  <r>
    <x v="89"/>
    <n v="1"/>
    <n v="1"/>
    <n v="0"/>
    <x v="5"/>
    <x v="1"/>
    <s v="エスパー"/>
    <n v="0"/>
    <m/>
    <x v="12"/>
    <x v="1"/>
    <m/>
    <m/>
    <m/>
    <m/>
    <m/>
    <n v="1"/>
  </r>
  <r>
    <x v="90"/>
    <n v="1"/>
    <n v="1"/>
    <n v="0"/>
    <x v="0"/>
    <x v="1"/>
    <s v="みず"/>
    <n v="0"/>
    <m/>
    <x v="12"/>
    <x v="1"/>
    <m/>
    <m/>
    <m/>
    <m/>
    <m/>
    <n v="1"/>
  </r>
  <r>
    <x v="91"/>
    <n v="1"/>
    <n v="1"/>
    <n v="0"/>
    <x v="1"/>
    <x v="1"/>
    <s v="じめん"/>
    <s v="ひこう"/>
    <m/>
    <x v="12"/>
    <x v="1"/>
    <m/>
    <m/>
    <m/>
    <m/>
    <m/>
    <n v="1"/>
  </r>
  <r>
    <x v="92"/>
    <n v="1"/>
    <n v="1"/>
    <n v="0"/>
    <x v="2"/>
    <x v="1"/>
    <s v="くさ"/>
    <s v="ゴースト"/>
    <m/>
    <x v="12"/>
    <x v="1"/>
    <m/>
    <m/>
    <m/>
    <m/>
    <m/>
    <n v="1"/>
  </r>
  <r>
    <x v="93"/>
    <n v="1"/>
    <n v="1"/>
    <n v="0"/>
    <x v="5"/>
    <x v="1"/>
    <s v="ほのお"/>
    <n v="0"/>
    <m/>
    <x v="12"/>
    <x v="1"/>
    <m/>
    <m/>
    <m/>
    <m/>
    <m/>
    <n v="1"/>
  </r>
  <r>
    <x v="94"/>
    <n v="1"/>
    <n v="0"/>
    <n v="1"/>
    <x v="3"/>
    <x v="1"/>
    <s v="ほのお"/>
    <s v="かくとう"/>
    <m/>
    <x v="12"/>
    <x v="1"/>
    <m/>
    <m/>
    <m/>
    <m/>
    <m/>
    <n v="1"/>
  </r>
  <r>
    <x v="95"/>
    <n v="1"/>
    <n v="0"/>
    <n v="1"/>
    <x v="0"/>
    <x v="0"/>
    <s v="ドラゴン"/>
    <n v="0"/>
    <m/>
    <x v="12"/>
    <x v="1"/>
    <m/>
    <m/>
    <m/>
    <m/>
    <m/>
    <n v="1"/>
  </r>
  <r>
    <x v="96"/>
    <n v="1"/>
    <n v="0"/>
    <n v="1"/>
    <x v="0"/>
    <x v="0"/>
    <s v="フェアリー"/>
    <n v="0"/>
    <m/>
    <x v="12"/>
    <x v="1"/>
    <m/>
    <m/>
    <m/>
    <m/>
    <m/>
    <n v="1"/>
  </r>
  <r>
    <x v="97"/>
    <n v="1"/>
    <n v="0"/>
    <n v="1"/>
    <x v="1"/>
    <x v="1"/>
    <s v="みず"/>
    <m/>
    <m/>
    <x v="12"/>
    <x v="1"/>
    <m/>
    <m/>
    <m/>
    <m/>
    <m/>
    <n v="1"/>
  </r>
  <r>
    <x v="98"/>
    <n v="1"/>
    <n v="0"/>
    <n v="1"/>
    <x v="4"/>
    <x v="0"/>
    <s v="くさ"/>
    <m/>
    <m/>
    <x v="12"/>
    <x v="1"/>
    <m/>
    <m/>
    <m/>
    <m/>
    <m/>
    <n v="1"/>
  </r>
  <r>
    <x v="99"/>
    <n v="1"/>
    <n v="0"/>
    <n v="1"/>
    <x v="4"/>
    <x v="0"/>
    <s v="エスパー"/>
    <m/>
    <m/>
    <x v="12"/>
    <x v="1"/>
    <m/>
    <m/>
    <m/>
    <m/>
    <m/>
    <n v="1"/>
  </r>
  <r>
    <x v="100"/>
    <n v="1"/>
    <n v="0"/>
    <n v="1"/>
    <x v="4"/>
    <x v="0"/>
    <s v="ノーマル"/>
    <m/>
    <m/>
    <x v="12"/>
    <x v="1"/>
    <m/>
    <m/>
    <m/>
    <m/>
    <m/>
    <n v="1"/>
  </r>
  <r>
    <x v="101"/>
    <n v="1"/>
    <n v="0"/>
    <n v="1"/>
    <x v="4"/>
    <x v="1"/>
    <s v="あく"/>
    <s v="こおり"/>
    <m/>
    <x v="12"/>
    <x v="1"/>
    <m/>
    <m/>
    <m/>
    <m/>
    <m/>
    <n v="1"/>
  </r>
  <r>
    <x v="102"/>
    <n v="1"/>
    <n v="0"/>
    <n v="1"/>
    <x v="5"/>
    <x v="1"/>
    <s v="むし"/>
    <m/>
    <m/>
    <x v="12"/>
    <x v="1"/>
    <m/>
    <m/>
    <m/>
    <m/>
    <m/>
    <n v="1"/>
  </r>
  <r>
    <x v="103"/>
    <n v="1"/>
    <n v="0"/>
    <n v="1"/>
    <x v="4"/>
    <x v="0"/>
    <s v="むし"/>
    <s v="くさ"/>
    <m/>
    <x v="12"/>
    <x v="1"/>
    <m/>
    <m/>
    <m/>
    <m/>
    <m/>
    <n v="1"/>
  </r>
  <r>
    <x v="104"/>
    <n v="1"/>
    <n v="0"/>
    <n v="1"/>
    <x v="4"/>
    <x v="0"/>
    <s v="みず"/>
    <m/>
    <m/>
    <x v="12"/>
    <x v="1"/>
    <m/>
    <m/>
    <m/>
    <m/>
    <m/>
    <n v="1"/>
  </r>
  <r>
    <x v="105"/>
    <n v="1"/>
    <n v="0"/>
    <n v="1"/>
    <x v="5"/>
    <x v="1"/>
    <s v="みず"/>
    <s v="じめん"/>
    <m/>
    <x v="12"/>
    <x v="1"/>
    <m/>
    <m/>
    <m/>
    <m/>
    <m/>
    <n v="1"/>
  </r>
  <r>
    <x v="106"/>
    <n v="1"/>
    <n v="0"/>
    <n v="1"/>
    <x v="4"/>
    <x v="1"/>
    <s v="むし"/>
    <m/>
    <m/>
    <x v="12"/>
    <x v="1"/>
    <m/>
    <m/>
    <m/>
    <m/>
    <m/>
    <n v="1"/>
  </r>
  <r>
    <x v="107"/>
    <n v="1"/>
    <n v="0"/>
    <n v="1"/>
    <x v="1"/>
    <x v="1"/>
    <s v="ノーマル"/>
    <m/>
    <m/>
    <x v="12"/>
    <x v="1"/>
    <m/>
    <m/>
    <m/>
    <m/>
    <m/>
    <n v="1"/>
  </r>
  <r>
    <x v="108"/>
    <n v="1"/>
    <n v="0"/>
    <n v="1"/>
    <x v="5"/>
    <x v="1"/>
    <s v="ノーマル"/>
    <m/>
    <m/>
    <x v="12"/>
    <x v="1"/>
    <m/>
    <m/>
    <m/>
    <m/>
    <m/>
    <n v="1"/>
  </r>
  <r>
    <x v="109"/>
    <n v="1"/>
    <n v="0"/>
    <n v="1"/>
    <x v="5"/>
    <x v="1"/>
    <s v="いわ"/>
    <s v="でんき"/>
    <m/>
    <x v="12"/>
    <x v="1"/>
    <m/>
    <m/>
    <m/>
    <m/>
    <m/>
    <n v="1"/>
  </r>
  <r>
    <x v="110"/>
    <n v="1"/>
    <n v="0"/>
    <n v="1"/>
    <x v="5"/>
    <x v="1"/>
    <s v="みず"/>
    <m/>
    <m/>
    <x v="12"/>
    <x v="1"/>
    <m/>
    <m/>
    <m/>
    <m/>
    <m/>
    <n v="1"/>
  </r>
  <r>
    <x v="111"/>
    <n v="1"/>
    <n v="0"/>
    <n v="1"/>
    <x v="5"/>
    <x v="1"/>
    <s v="ほのお"/>
    <m/>
    <m/>
    <x v="12"/>
    <x v="1"/>
    <m/>
    <m/>
    <m/>
    <m/>
    <m/>
    <n v="1"/>
  </r>
  <r>
    <x v="112"/>
    <n v="1"/>
    <n v="0"/>
    <n v="1"/>
    <x v="3"/>
    <x v="1"/>
    <s v="むし"/>
    <s v="ひこう"/>
    <m/>
    <x v="12"/>
    <x v="1"/>
    <m/>
    <m/>
    <m/>
    <m/>
    <m/>
    <n v="1"/>
  </r>
  <r>
    <x v="113"/>
    <n v="1"/>
    <n v="0"/>
    <n v="1"/>
    <x v="5"/>
    <x v="0"/>
    <s v="こおり"/>
    <s v="エスパー"/>
    <m/>
    <x v="12"/>
    <x v="1"/>
    <m/>
    <m/>
    <m/>
    <m/>
    <m/>
    <n v="1"/>
  </r>
  <r>
    <x v="114"/>
    <n v="1"/>
    <n v="0"/>
    <n v="1"/>
    <x v="0"/>
    <x v="0"/>
    <s v="くさ"/>
    <s v="フェアリー"/>
    <m/>
    <x v="12"/>
    <x v="1"/>
    <m/>
    <m/>
    <m/>
    <m/>
    <m/>
    <n v="1"/>
  </r>
  <r>
    <x v="115"/>
    <n v="1"/>
    <n v="0"/>
    <n v="1"/>
    <x v="0"/>
    <x v="0"/>
    <s v="みず"/>
    <s v="フェアリー"/>
    <m/>
    <x v="12"/>
    <x v="1"/>
    <m/>
    <m/>
    <m/>
    <m/>
    <m/>
    <n v="1"/>
  </r>
  <r>
    <x v="116"/>
    <n v="1"/>
    <n v="0"/>
    <n v="1"/>
    <x v="0"/>
    <x v="0"/>
    <s v="ひこう"/>
    <s v="フェアリー"/>
    <m/>
    <x v="12"/>
    <x v="1"/>
    <m/>
    <m/>
    <m/>
    <m/>
    <m/>
    <n v="1"/>
  </r>
  <r>
    <x v="117"/>
    <n v="1"/>
    <n v="0"/>
    <n v="1"/>
    <x v="0"/>
    <x v="0"/>
    <s v="エスパー"/>
    <m/>
    <m/>
    <x v="12"/>
    <x v="1"/>
    <m/>
    <m/>
    <m/>
    <m/>
    <m/>
    <n v="1"/>
  </r>
  <r>
    <x v="118"/>
    <n v="1"/>
    <n v="0"/>
    <n v="1"/>
    <x v="0"/>
    <x v="0"/>
    <s v="ほのお"/>
    <s v="ゴースト"/>
    <m/>
    <x v="12"/>
    <x v="1"/>
    <m/>
    <m/>
    <m/>
    <m/>
    <m/>
    <n v="1"/>
  </r>
  <r>
    <x v="119"/>
    <n v="1"/>
    <n v="0"/>
    <n v="1"/>
    <x v="5"/>
    <x v="0"/>
    <s v="エスパー"/>
    <m/>
    <m/>
    <x v="12"/>
    <x v="1"/>
    <m/>
    <m/>
    <m/>
    <m/>
    <m/>
    <n v="1"/>
  </r>
  <r>
    <x v="120"/>
    <n v="1"/>
    <n v="0"/>
    <n v="1"/>
    <x v="0"/>
    <x v="0"/>
    <s v="みず"/>
    <s v="フェアリー"/>
    <m/>
    <x v="12"/>
    <x v="1"/>
    <m/>
    <m/>
    <m/>
    <m/>
    <m/>
    <n v="1"/>
  </r>
  <r>
    <x v="121"/>
    <n v="1"/>
    <n v="0"/>
    <n v="1"/>
    <x v="0"/>
    <x v="1"/>
    <s v="でんき"/>
    <m/>
    <m/>
    <x v="12"/>
    <x v="1"/>
    <m/>
    <m/>
    <m/>
    <m/>
    <m/>
    <n v="1"/>
  </r>
  <r>
    <x v="122"/>
    <n v="1"/>
    <n v="0"/>
    <n v="1"/>
    <x v="4"/>
    <x v="1"/>
    <s v="ノーマル"/>
    <s v="ひこう"/>
    <m/>
    <x v="12"/>
    <x v="1"/>
    <m/>
    <m/>
    <m/>
    <m/>
    <m/>
    <n v="1"/>
  </r>
  <r>
    <x v="123"/>
    <n v="1"/>
    <n v="0"/>
    <n v="1"/>
    <x v="0"/>
    <x v="0"/>
    <s v="ノーマル"/>
    <m/>
    <m/>
    <x v="12"/>
    <x v="1"/>
    <m/>
    <m/>
    <m/>
    <m/>
    <m/>
    <n v="1"/>
  </r>
  <r>
    <x v="124"/>
    <n v="3"/>
    <n v="1"/>
    <n v="2"/>
    <x v="4"/>
    <x v="1"/>
    <s v="でんき"/>
    <s v="はがね"/>
    <m/>
    <x v="23"/>
    <x v="0"/>
    <m/>
    <m/>
    <m/>
    <m/>
    <m/>
    <n v="0"/>
  </r>
  <r>
    <x v="125"/>
    <n v="3"/>
    <n v="1"/>
    <n v="2"/>
    <x v="0"/>
    <x v="0"/>
    <s v="フェアリー"/>
    <s v="エスパー"/>
    <m/>
    <x v="12"/>
    <x v="0"/>
    <m/>
    <m/>
    <m/>
    <m/>
    <m/>
    <n v="0"/>
  </r>
  <r>
    <x v="126"/>
    <n v="3"/>
    <n v="0"/>
    <n v="3"/>
    <x v="0"/>
    <x v="0"/>
    <s v="ノーマル"/>
    <n v="0"/>
    <m/>
    <x v="12"/>
    <x v="0"/>
    <m/>
    <m/>
    <m/>
    <m/>
    <m/>
    <n v="0"/>
  </r>
  <r>
    <x v="127"/>
    <n v="3"/>
    <n v="0"/>
    <n v="3"/>
    <x v="5"/>
    <x v="1"/>
    <s v="ノーマル"/>
    <n v="0"/>
    <m/>
    <x v="12"/>
    <x v="0"/>
    <m/>
    <m/>
    <m/>
    <m/>
    <m/>
    <n v="0"/>
  </r>
  <r>
    <x v="128"/>
    <n v="2"/>
    <n v="1"/>
    <n v="1"/>
    <x v="0"/>
    <x v="0"/>
    <s v="フェアリー"/>
    <n v="0"/>
    <m/>
    <x v="1"/>
    <x v="1"/>
    <m/>
    <m/>
    <m/>
    <m/>
    <m/>
    <n v="0"/>
  </r>
  <r>
    <x v="129"/>
    <n v="2"/>
    <n v="2"/>
    <n v="0"/>
    <x v="0"/>
    <x v="0"/>
    <s v="ノーマル"/>
    <n v="0"/>
    <m/>
    <x v="12"/>
    <x v="1"/>
    <m/>
    <m/>
    <m/>
    <m/>
    <m/>
    <n v="0"/>
  </r>
  <r>
    <x v="130"/>
    <n v="2"/>
    <n v="2"/>
    <n v="0"/>
    <x v="8"/>
    <x v="2"/>
    <s v="こおり"/>
    <s v="エスパー"/>
    <m/>
    <x v="12"/>
    <x v="1"/>
    <m/>
    <m/>
    <m/>
    <m/>
    <m/>
    <n v="0"/>
  </r>
  <r>
    <x v="131"/>
    <n v="2"/>
    <n v="1"/>
    <n v="1"/>
    <x v="5"/>
    <x v="1"/>
    <s v="みず"/>
    <n v="0"/>
    <m/>
    <x v="12"/>
    <x v="1"/>
    <m/>
    <m/>
    <m/>
    <m/>
    <m/>
    <n v="0"/>
  </r>
  <r>
    <x v="132"/>
    <n v="2"/>
    <n v="1"/>
    <n v="1"/>
    <x v="0"/>
    <x v="0"/>
    <s v="くさ"/>
    <n v="0"/>
    <m/>
    <x v="12"/>
    <x v="1"/>
    <m/>
    <m/>
    <m/>
    <m/>
    <m/>
    <n v="0"/>
  </r>
  <r>
    <x v="133"/>
    <n v="2"/>
    <n v="1"/>
    <n v="1"/>
    <x v="0"/>
    <x v="0"/>
    <s v="でんき"/>
    <n v="0"/>
    <m/>
    <x v="12"/>
    <x v="1"/>
    <m/>
    <m/>
    <m/>
    <m/>
    <m/>
    <n v="0"/>
  </r>
  <r>
    <x v="134"/>
    <n v="2"/>
    <n v="1"/>
    <n v="1"/>
    <x v="5"/>
    <x v="1"/>
    <s v="どく"/>
    <n v="0"/>
    <m/>
    <x v="12"/>
    <x v="1"/>
    <m/>
    <m/>
    <m/>
    <m/>
    <m/>
    <n v="0"/>
  </r>
  <r>
    <x v="135"/>
    <n v="2"/>
    <n v="1"/>
    <n v="1"/>
    <x v="0"/>
    <x v="0"/>
    <s v="くさ"/>
    <s v="どく"/>
    <m/>
    <x v="12"/>
    <x v="1"/>
    <m/>
    <m/>
    <m/>
    <m/>
    <m/>
    <n v="0"/>
  </r>
  <r>
    <x v="136"/>
    <n v="2"/>
    <n v="1"/>
    <n v="1"/>
    <x v="1"/>
    <x v="1"/>
    <s v="はがね"/>
    <s v="エスパー"/>
    <m/>
    <x v="12"/>
    <x v="1"/>
    <m/>
    <m/>
    <m/>
    <m/>
    <m/>
    <n v="0"/>
  </r>
  <r>
    <x v="137"/>
    <n v="2"/>
    <n v="1"/>
    <n v="1"/>
    <x v="4"/>
    <x v="1"/>
    <s v="いわ"/>
    <n v="0"/>
    <m/>
    <x v="12"/>
    <x v="1"/>
    <m/>
    <m/>
    <m/>
    <m/>
    <m/>
    <n v="0"/>
  </r>
  <r>
    <x v="138"/>
    <n v="2"/>
    <n v="0"/>
    <n v="2"/>
    <x v="0"/>
    <x v="0"/>
    <s v="でんき"/>
    <n v="0"/>
    <m/>
    <x v="12"/>
    <x v="1"/>
    <m/>
    <m/>
    <m/>
    <m/>
    <m/>
    <n v="0"/>
  </r>
  <r>
    <x v="139"/>
    <n v="2"/>
    <n v="0"/>
    <n v="2"/>
    <x v="8"/>
    <x v="1"/>
    <s v="エスパー"/>
    <n v="0"/>
    <m/>
    <x v="12"/>
    <x v="1"/>
    <m/>
    <m/>
    <m/>
    <m/>
    <m/>
    <n v="0"/>
  </r>
  <r>
    <x v="140"/>
    <n v="1"/>
    <n v="1"/>
    <n v="0"/>
    <x v="5"/>
    <x v="1"/>
    <s v="ノーマル"/>
    <n v="0"/>
    <m/>
    <x v="12"/>
    <x v="1"/>
    <m/>
    <m/>
    <m/>
    <m/>
    <m/>
    <n v="0"/>
  </r>
  <r>
    <x v="141"/>
    <n v="1"/>
    <n v="1"/>
    <n v="0"/>
    <x v="4"/>
    <x v="1"/>
    <s v="みず"/>
    <s v="エスパー"/>
    <m/>
    <x v="12"/>
    <x v="1"/>
    <m/>
    <m/>
    <m/>
    <m/>
    <m/>
    <n v="0"/>
  </r>
  <r>
    <x v="142"/>
    <n v="1"/>
    <n v="1"/>
    <n v="0"/>
    <x v="1"/>
    <x v="1"/>
    <s v="いわ"/>
    <s v="あく"/>
    <m/>
    <x v="12"/>
    <x v="1"/>
    <m/>
    <m/>
    <m/>
    <m/>
    <m/>
    <n v="0"/>
  </r>
  <r>
    <x v="143"/>
    <n v="1"/>
    <n v="1"/>
    <n v="0"/>
    <x v="6"/>
    <x v="1"/>
    <s v="いわ"/>
    <s v="じめん"/>
    <m/>
    <x v="12"/>
    <x v="1"/>
    <m/>
    <m/>
    <m/>
    <m/>
    <m/>
    <n v="0"/>
  </r>
  <r>
    <x v="144"/>
    <n v="1"/>
    <n v="1"/>
    <n v="0"/>
    <x v="5"/>
    <x v="0"/>
    <s v="どく"/>
    <s v="フェアリー"/>
    <m/>
    <x v="12"/>
    <x v="1"/>
    <m/>
    <m/>
    <m/>
    <m/>
    <m/>
    <n v="0"/>
  </r>
  <r>
    <x v="145"/>
    <n v="1"/>
    <n v="1"/>
    <n v="0"/>
    <x v="0"/>
    <x v="0"/>
    <s v="むし"/>
    <s v="ひこう"/>
    <m/>
    <x v="12"/>
    <x v="1"/>
    <m/>
    <m/>
    <m/>
    <m/>
    <m/>
    <n v="0"/>
  </r>
  <r>
    <x v="146"/>
    <n v="1"/>
    <n v="1"/>
    <n v="0"/>
    <x v="5"/>
    <x v="1"/>
    <s v="かくとう"/>
    <n v="0"/>
    <m/>
    <x v="12"/>
    <x v="1"/>
    <m/>
    <m/>
    <m/>
    <m/>
    <m/>
    <n v="0"/>
  </r>
  <r>
    <x v="147"/>
    <n v="1"/>
    <n v="1"/>
    <n v="0"/>
    <x v="0"/>
    <x v="0"/>
    <s v="エスパー"/>
    <s v="くさ"/>
    <m/>
    <x v="12"/>
    <x v="1"/>
    <m/>
    <m/>
    <m/>
    <m/>
    <m/>
    <n v="0"/>
  </r>
  <r>
    <x v="148"/>
    <n v="1"/>
    <n v="1"/>
    <n v="0"/>
    <x v="5"/>
    <x v="0"/>
    <s v="ノーマル"/>
    <n v="0"/>
    <m/>
    <x v="12"/>
    <x v="1"/>
    <m/>
    <m/>
    <m/>
    <m/>
    <m/>
    <n v="0"/>
  </r>
  <r>
    <x v="149"/>
    <n v="1"/>
    <n v="1"/>
    <n v="0"/>
    <x v="0"/>
    <x v="0"/>
    <s v="ゴースト"/>
    <s v="ひこう"/>
    <m/>
    <x v="12"/>
    <x v="1"/>
    <m/>
    <m/>
    <m/>
    <m/>
    <m/>
    <n v="0"/>
  </r>
  <r>
    <x v="150"/>
    <n v="1"/>
    <n v="1"/>
    <n v="0"/>
    <x v="8"/>
    <x v="1"/>
    <s v="どく"/>
    <n v="0"/>
    <m/>
    <x v="12"/>
    <x v="1"/>
    <m/>
    <m/>
    <m/>
    <m/>
    <m/>
    <n v="0"/>
  </r>
  <r>
    <x v="151"/>
    <n v="1"/>
    <n v="1"/>
    <n v="0"/>
    <x v="0"/>
    <x v="0"/>
    <s v="ゴースト"/>
    <n v="0"/>
    <m/>
    <x v="12"/>
    <x v="1"/>
    <m/>
    <m/>
    <m/>
    <m/>
    <m/>
    <n v="0"/>
  </r>
  <r>
    <x v="152"/>
    <n v="1"/>
    <n v="1"/>
    <n v="0"/>
    <x v="0"/>
    <x v="0"/>
    <s v="でんき"/>
    <s v="フェアリー"/>
    <m/>
    <x v="12"/>
    <x v="1"/>
    <m/>
    <m/>
    <m/>
    <m/>
    <m/>
    <n v="0"/>
  </r>
  <r>
    <x v="153"/>
    <n v="1"/>
    <n v="1"/>
    <n v="0"/>
    <x v="0"/>
    <x v="0"/>
    <s v="エスパー"/>
    <n v="0"/>
    <m/>
    <x v="12"/>
    <x v="1"/>
    <m/>
    <m/>
    <m/>
    <m/>
    <m/>
    <n v="0"/>
  </r>
  <r>
    <x v="154"/>
    <n v="1"/>
    <n v="1"/>
    <n v="0"/>
    <x v="0"/>
    <x v="0"/>
    <s v="くさ"/>
    <s v="どく"/>
    <m/>
    <x v="12"/>
    <x v="1"/>
    <m/>
    <m/>
    <m/>
    <m/>
    <m/>
    <n v="0"/>
  </r>
  <r>
    <x v="155"/>
    <n v="1"/>
    <n v="1"/>
    <n v="0"/>
    <x v="3"/>
    <x v="1"/>
    <s v="ドラゴン"/>
    <s v="じめん"/>
    <m/>
    <x v="12"/>
    <x v="1"/>
    <m/>
    <m/>
    <m/>
    <m/>
    <m/>
    <n v="0"/>
  </r>
  <r>
    <x v="156"/>
    <n v="1"/>
    <n v="1"/>
    <n v="0"/>
    <x v="1"/>
    <x v="0"/>
    <s v="フェアリー"/>
    <n v="0"/>
    <m/>
    <x v="12"/>
    <x v="1"/>
    <m/>
    <m/>
    <m/>
    <m/>
    <m/>
    <n v="0"/>
  </r>
  <r>
    <x v="157"/>
    <n v="1"/>
    <n v="1"/>
    <n v="0"/>
    <x v="4"/>
    <x v="1"/>
    <s v="エスパー"/>
    <n v="0"/>
    <m/>
    <x v="12"/>
    <x v="1"/>
    <m/>
    <m/>
    <m/>
    <m/>
    <m/>
    <n v="0"/>
  </r>
  <r>
    <x v="158"/>
    <n v="1"/>
    <n v="1"/>
    <n v="0"/>
    <x v="4"/>
    <x v="1"/>
    <s v="いわ"/>
    <s v="くさ"/>
    <m/>
    <x v="12"/>
    <x v="1"/>
    <m/>
    <m/>
    <m/>
    <m/>
    <m/>
    <n v="0"/>
  </r>
  <r>
    <x v="159"/>
    <n v="1"/>
    <n v="1"/>
    <n v="0"/>
    <x v="5"/>
    <x v="1"/>
    <s v="じめん"/>
    <n v="0"/>
    <m/>
    <x v="12"/>
    <x v="1"/>
    <m/>
    <m/>
    <m/>
    <m/>
    <m/>
    <n v="0"/>
  </r>
  <r>
    <x v="160"/>
    <n v="1"/>
    <n v="1"/>
    <n v="0"/>
    <x v="0"/>
    <x v="0"/>
    <s v="はがね"/>
    <s v="フェアリー"/>
    <m/>
    <x v="12"/>
    <x v="1"/>
    <m/>
    <m/>
    <m/>
    <m/>
    <m/>
    <n v="0"/>
  </r>
  <r>
    <x v="161"/>
    <n v="1"/>
    <n v="1"/>
    <n v="0"/>
    <x v="0"/>
    <x v="0"/>
    <s v="ゴースト"/>
    <n v="0"/>
    <m/>
    <x v="12"/>
    <x v="1"/>
    <m/>
    <m/>
    <m/>
    <m/>
    <m/>
    <n v="0"/>
  </r>
  <r>
    <x v="162"/>
    <n v="1"/>
    <n v="1"/>
    <n v="0"/>
    <x v="0"/>
    <x v="0"/>
    <s v="みず"/>
    <n v="0"/>
    <m/>
    <x v="12"/>
    <x v="1"/>
    <m/>
    <m/>
    <m/>
    <m/>
    <m/>
    <n v="0"/>
  </r>
  <r>
    <x v="163"/>
    <n v="1"/>
    <n v="1"/>
    <n v="0"/>
    <x v="6"/>
    <x v="1"/>
    <s v="エスパー"/>
    <n v="0"/>
    <m/>
    <x v="12"/>
    <x v="1"/>
    <m/>
    <m/>
    <m/>
    <m/>
    <m/>
    <n v="0"/>
  </r>
  <r>
    <x v="164"/>
    <n v="1"/>
    <n v="1"/>
    <n v="0"/>
    <x v="4"/>
    <x v="1"/>
    <s v="みず"/>
    <s v="どく"/>
    <m/>
    <x v="12"/>
    <x v="1"/>
    <m/>
    <m/>
    <m/>
    <m/>
    <m/>
    <n v="0"/>
  </r>
  <r>
    <x v="165"/>
    <n v="1"/>
    <n v="1"/>
    <n v="0"/>
    <x v="5"/>
    <x v="0"/>
    <s v="みず"/>
    <n v="0"/>
    <m/>
    <x v="12"/>
    <x v="1"/>
    <m/>
    <m/>
    <m/>
    <m/>
    <m/>
    <n v="0"/>
  </r>
  <r>
    <x v="166"/>
    <n v="1"/>
    <n v="1"/>
    <n v="0"/>
    <x v="0"/>
    <x v="0"/>
    <s v="くさ"/>
    <n v="0"/>
    <m/>
    <x v="12"/>
    <x v="1"/>
    <m/>
    <m/>
    <m/>
    <m/>
    <m/>
    <n v="0"/>
  </r>
  <r>
    <x v="167"/>
    <n v="1"/>
    <n v="0"/>
    <n v="1"/>
    <x v="5"/>
    <x v="1"/>
    <s v="みず"/>
    <s v="ひこう"/>
    <m/>
    <x v="12"/>
    <x v="1"/>
    <m/>
    <m/>
    <m/>
    <m/>
    <m/>
    <n v="0"/>
  </r>
  <r>
    <x v="168"/>
    <n v="1"/>
    <n v="0"/>
    <n v="1"/>
    <x v="8"/>
    <x v="1"/>
    <s v="みず"/>
    <n v="0"/>
    <m/>
    <x v="12"/>
    <x v="1"/>
    <m/>
    <m/>
    <m/>
    <m/>
    <m/>
    <n v="0"/>
  </r>
  <r>
    <x v="169"/>
    <n v="1"/>
    <n v="0"/>
    <n v="1"/>
    <x v="2"/>
    <x v="1"/>
    <s v="ゴースト"/>
    <s v="あく"/>
    <m/>
    <x v="12"/>
    <x v="1"/>
    <m/>
    <m/>
    <m/>
    <m/>
    <m/>
    <n v="0"/>
  </r>
  <r>
    <x v="170"/>
    <n v="1"/>
    <n v="0"/>
    <n v="1"/>
    <x v="5"/>
    <x v="1"/>
    <s v="でんき"/>
    <n v="0"/>
    <m/>
    <x v="12"/>
    <x v="1"/>
    <m/>
    <m/>
    <m/>
    <m/>
    <m/>
    <n v="0"/>
  </r>
  <r>
    <x v="171"/>
    <n v="1"/>
    <n v="0"/>
    <n v="1"/>
    <x v="8"/>
    <x v="1"/>
    <s v="どく"/>
    <n v="0"/>
    <m/>
    <x v="12"/>
    <x v="1"/>
    <m/>
    <m/>
    <m/>
    <m/>
    <m/>
    <n v="0"/>
  </r>
  <r>
    <x v="172"/>
    <n v="1"/>
    <n v="0"/>
    <n v="1"/>
    <x v="4"/>
    <x v="0"/>
    <s v="くさ"/>
    <s v="どく"/>
    <m/>
    <x v="12"/>
    <x v="1"/>
    <m/>
    <m/>
    <m/>
    <m/>
    <m/>
    <n v="0"/>
  </r>
  <r>
    <x v="173"/>
    <n v="1"/>
    <n v="0"/>
    <n v="1"/>
    <x v="5"/>
    <x v="1"/>
    <s v="みず"/>
    <n v="0"/>
    <m/>
    <x v="12"/>
    <x v="1"/>
    <m/>
    <m/>
    <m/>
    <m/>
    <m/>
    <n v="0"/>
  </r>
  <r>
    <x v="174"/>
    <n v="1"/>
    <n v="0"/>
    <n v="1"/>
    <x v="0"/>
    <x v="1"/>
    <s v="じめん"/>
    <n v="0"/>
    <m/>
    <x v="12"/>
    <x v="1"/>
    <m/>
    <m/>
    <m/>
    <m/>
    <m/>
    <n v="0"/>
  </r>
  <r>
    <x v="175"/>
    <n v="1"/>
    <n v="0"/>
    <n v="1"/>
    <x v="5"/>
    <x v="1"/>
    <s v="でんき"/>
    <n v="0"/>
    <m/>
    <x v="12"/>
    <x v="1"/>
    <m/>
    <m/>
    <m/>
    <m/>
    <m/>
    <n v="0"/>
  </r>
  <r>
    <x v="176"/>
    <n v="1"/>
    <n v="0"/>
    <n v="1"/>
    <x v="5"/>
    <x v="1"/>
    <s v="ノーマル"/>
    <n v="0"/>
    <m/>
    <x v="12"/>
    <x v="1"/>
    <m/>
    <m/>
    <m/>
    <m/>
    <m/>
    <n v="0"/>
  </r>
  <r>
    <x v="177"/>
    <n v="1"/>
    <n v="0"/>
    <n v="1"/>
    <x v="4"/>
    <x v="1"/>
    <s v="ノーマル"/>
    <n v="0"/>
    <m/>
    <x v="12"/>
    <x v="1"/>
    <m/>
    <m/>
    <m/>
    <m/>
    <m/>
    <n v="0"/>
  </r>
  <r>
    <x v="178"/>
    <n v="1"/>
    <n v="0"/>
    <n v="1"/>
    <x v="5"/>
    <x v="0"/>
    <s v="ノーマル"/>
    <m/>
    <m/>
    <x v="12"/>
    <x v="1"/>
    <m/>
    <m/>
    <m/>
    <m/>
    <m/>
    <n v="0"/>
  </r>
  <r>
    <x v="179"/>
    <n v="1"/>
    <n v="0"/>
    <n v="1"/>
    <x v="4"/>
    <x v="1"/>
    <s v="ノーマル"/>
    <s v="ひこう"/>
    <m/>
    <x v="12"/>
    <x v="1"/>
    <m/>
    <m/>
    <m/>
    <m/>
    <m/>
    <n v="0"/>
  </r>
  <r>
    <x v="180"/>
    <n v="1"/>
    <n v="0"/>
    <n v="1"/>
    <x v="4"/>
    <x v="1"/>
    <s v="ノーマル"/>
    <m/>
    <m/>
    <x v="12"/>
    <x v="1"/>
    <m/>
    <m/>
    <m/>
    <m/>
    <m/>
    <n v="0"/>
  </r>
  <r>
    <x v="181"/>
    <n v="1"/>
    <n v="0"/>
    <n v="1"/>
    <x v="4"/>
    <x v="1"/>
    <s v="ノーマル"/>
    <m/>
    <m/>
    <x v="12"/>
    <x v="1"/>
    <m/>
    <m/>
    <m/>
    <m/>
    <m/>
    <n v="0"/>
  </r>
  <r>
    <x v="182"/>
    <n v="1"/>
    <n v="0"/>
    <n v="1"/>
    <x v="4"/>
    <x v="1"/>
    <s v="じめん"/>
    <m/>
    <m/>
    <x v="12"/>
    <x v="1"/>
    <m/>
    <m/>
    <m/>
    <m/>
    <m/>
    <n v="0"/>
  </r>
  <r>
    <x v="183"/>
    <n v="1"/>
    <n v="0"/>
    <n v="1"/>
    <x v="4"/>
    <x v="1"/>
    <s v="ノーマル"/>
    <m/>
    <m/>
    <x v="12"/>
    <x v="1"/>
    <m/>
    <m/>
    <m/>
    <m/>
    <m/>
    <n v="0"/>
  </r>
  <r>
    <x v="184"/>
    <n v="1"/>
    <n v="0"/>
    <n v="1"/>
    <x v="1"/>
    <x v="1"/>
    <s v="ゴースト"/>
    <s v="はがね"/>
    <m/>
    <x v="12"/>
    <x v="1"/>
    <m/>
    <m/>
    <m/>
    <m/>
    <m/>
    <n v="0"/>
  </r>
  <r>
    <x v="185"/>
    <n v="1"/>
    <n v="0"/>
    <n v="1"/>
    <x v="1"/>
    <x v="1"/>
    <s v="ゴースト"/>
    <s v="ドラゴン"/>
    <m/>
    <x v="12"/>
    <x v="1"/>
    <m/>
    <m/>
    <m/>
    <m/>
    <m/>
    <n v="0"/>
  </r>
  <r>
    <x v="186"/>
    <n v="1"/>
    <n v="0"/>
    <n v="1"/>
    <x v="4"/>
    <x v="1"/>
    <s v="はがね"/>
    <s v="エスパー"/>
    <m/>
    <x v="12"/>
    <x v="1"/>
    <m/>
    <m/>
    <m/>
    <m/>
    <m/>
    <n v="0"/>
  </r>
  <r>
    <x v="187"/>
    <n v="1"/>
    <n v="0"/>
    <n v="1"/>
    <x v="1"/>
    <x v="0"/>
    <s v="フェアリー"/>
    <s v="ゴースト"/>
    <m/>
    <x v="12"/>
    <x v="1"/>
    <m/>
    <m/>
    <m/>
    <m/>
    <m/>
    <n v="0"/>
  </r>
  <r>
    <x v="188"/>
    <n v="1"/>
    <n v="0"/>
    <n v="1"/>
    <x v="1"/>
    <x v="1"/>
    <s v="エスパー"/>
    <s v="かくとう"/>
    <m/>
    <x v="12"/>
    <x v="1"/>
    <m/>
    <m/>
    <m/>
    <m/>
    <m/>
    <n v="0"/>
  </r>
  <r>
    <x v="189"/>
    <n v="1"/>
    <n v="0"/>
    <n v="1"/>
    <x v="4"/>
    <x v="1"/>
    <s v="エスパー"/>
    <m/>
    <m/>
    <x v="12"/>
    <x v="1"/>
    <m/>
    <m/>
    <m/>
    <m/>
    <m/>
    <n v="0"/>
  </r>
  <r>
    <x v="190"/>
    <n v="1"/>
    <n v="0"/>
    <n v="1"/>
    <x v="5"/>
    <x v="1"/>
    <s v="かくとう"/>
    <m/>
    <m/>
    <x v="12"/>
    <x v="1"/>
    <m/>
    <m/>
    <m/>
    <m/>
    <m/>
    <n v="0"/>
  </r>
  <r>
    <x v="191"/>
    <n v="1"/>
    <n v="0"/>
    <n v="1"/>
    <x v="0"/>
    <x v="1"/>
    <s v="みず"/>
    <m/>
    <m/>
    <x v="12"/>
    <x v="1"/>
    <m/>
    <m/>
    <m/>
    <m/>
    <m/>
    <n v="0"/>
  </r>
  <r>
    <x v="192"/>
    <n v="1"/>
    <n v="0"/>
    <n v="1"/>
    <x v="1"/>
    <x v="1"/>
    <s v="くさ"/>
    <s v="かくとう"/>
    <m/>
    <x v="12"/>
    <x v="1"/>
    <m/>
    <m/>
    <m/>
    <m/>
    <m/>
    <n v="0"/>
  </r>
  <r>
    <x v="193"/>
    <n v="1"/>
    <n v="0"/>
    <n v="1"/>
    <x v="4"/>
    <x v="1"/>
    <s v="いわ"/>
    <s v="ほのお"/>
    <m/>
    <x v="12"/>
    <x v="1"/>
    <m/>
    <m/>
    <m/>
    <m/>
    <m/>
    <n v="0"/>
  </r>
  <r>
    <x v="194"/>
    <n v="1"/>
    <n v="0"/>
    <n v="1"/>
    <x v="4"/>
    <x v="1"/>
    <s v="みず"/>
    <m/>
    <m/>
    <x v="12"/>
    <x v="1"/>
    <m/>
    <m/>
    <m/>
    <m/>
    <m/>
    <n v="0"/>
  </r>
  <r>
    <x v="195"/>
    <n v="1"/>
    <n v="0"/>
    <n v="1"/>
    <x v="0"/>
    <x v="0"/>
    <s v="むし"/>
    <s v="ひこう"/>
    <m/>
    <x v="12"/>
    <x v="1"/>
    <m/>
    <m/>
    <m/>
    <m/>
    <m/>
    <n v="0"/>
  </r>
  <r>
    <x v="196"/>
    <n v="1"/>
    <n v="0"/>
    <n v="1"/>
    <x v="0"/>
    <x v="0"/>
    <s v="みず"/>
    <s v="フェアリー"/>
    <m/>
    <x v="12"/>
    <x v="1"/>
    <m/>
    <m/>
    <m/>
    <m/>
    <m/>
    <n v="0"/>
  </r>
  <r>
    <x v="197"/>
    <n v="1"/>
    <n v="0"/>
    <n v="1"/>
    <x v="5"/>
    <x v="1"/>
    <s v="みず"/>
    <s v="いわ"/>
    <m/>
    <x v="12"/>
    <x v="1"/>
    <m/>
    <m/>
    <m/>
    <m/>
    <m/>
    <n v="0"/>
  </r>
  <r>
    <x v="198"/>
    <n v="1"/>
    <n v="0"/>
    <n v="1"/>
    <x v="5"/>
    <x v="1"/>
    <s v="みず"/>
    <m/>
    <m/>
    <x v="12"/>
    <x v="1"/>
    <m/>
    <m/>
    <m/>
    <m/>
    <m/>
    <n v="0"/>
  </r>
  <r>
    <x v="199"/>
    <n v="1"/>
    <n v="0"/>
    <n v="1"/>
    <x v="1"/>
    <x v="1"/>
    <s v="くさ"/>
    <s v="はがね"/>
    <m/>
    <x v="12"/>
    <x v="1"/>
    <m/>
    <m/>
    <m/>
    <m/>
    <m/>
    <n v="0"/>
  </r>
  <r>
    <x v="200"/>
    <n v="1"/>
    <n v="0"/>
    <n v="1"/>
    <x v="5"/>
    <x v="1"/>
    <s v="いわ"/>
    <s v="はがね"/>
    <m/>
    <x v="12"/>
    <x v="1"/>
    <m/>
    <m/>
    <m/>
    <m/>
    <m/>
    <n v="0"/>
  </r>
  <r>
    <x v="201"/>
    <n v="1"/>
    <n v="0"/>
    <n v="1"/>
    <x v="4"/>
    <x v="1"/>
    <s v="みず"/>
    <m/>
    <m/>
    <x v="12"/>
    <x v="1"/>
    <m/>
    <m/>
    <m/>
    <m/>
    <m/>
    <n v="0"/>
  </r>
  <r>
    <x v="202"/>
    <n v="0"/>
    <n v="0"/>
    <n v="0"/>
    <x v="0"/>
    <x v="0"/>
    <s v="こおり"/>
    <s v="むし"/>
    <m/>
    <x v="12"/>
    <x v="1"/>
    <m/>
    <m/>
    <m/>
    <m/>
    <m/>
    <n v="0"/>
  </r>
  <r>
    <x v="203"/>
    <n v="0"/>
    <n v="0"/>
    <n v="0"/>
    <x v="0"/>
    <x v="0"/>
    <s v="フェアリー"/>
    <n v="0"/>
    <m/>
    <x v="12"/>
    <x v="1"/>
    <m/>
    <m/>
    <m/>
    <m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7B2B65-C3D4-4391-A2E0-1DA9FE696AE5}" name="ピボットテーブル2" cacheId="0" applyNumberFormats="0" applyBorderFormats="0" applyFontFormats="0" applyPatternFormats="0" applyAlignmentFormats="0" applyWidthHeightFormats="1" dataCaption="値" updatedVersion="8" minRefreshableVersion="3" showDrill="0" useAutoFormatting="1" itemPrintTitles="1" createdVersion="8" indent="0" outline="1" outlineData="1" multipleFieldFilters="0">
  <location ref="A1:E208" firstHeaderRow="1" firstDataRow="2" firstDataCol="1"/>
  <pivotFields count="7">
    <pivotField showAll="0"/>
    <pivotField showAll="0"/>
    <pivotField axis="axisRow" dataField="1" showAll="0" sortType="ascending">
      <items count="206">
        <item x="195"/>
        <item x="167"/>
        <item x="170"/>
        <item x="173"/>
        <item x="64"/>
        <item x="147"/>
        <item x="119"/>
        <item x="34"/>
        <item x="185"/>
        <item x="27"/>
        <item x="87"/>
        <item x="181"/>
        <item x="182"/>
        <item x="140"/>
        <item x="23"/>
        <item x="49"/>
        <item x="99"/>
        <item x="79"/>
        <item x="20"/>
        <item x="135"/>
        <item x="21"/>
        <item x="65"/>
        <item x="154"/>
        <item x="26"/>
        <item x="60"/>
        <item x="78"/>
        <item x="37"/>
        <item x="92"/>
        <item x="204"/>
        <item x="169"/>
        <item x="19"/>
        <item x="191"/>
        <item x="57"/>
        <item x="66"/>
        <item x="133"/>
        <item x="96"/>
        <item x="178"/>
        <item x="172"/>
        <item x="105"/>
        <item x="165"/>
        <item x="7"/>
        <item x="127"/>
        <item x="69"/>
        <item x="94"/>
        <item x="166"/>
        <item x="113"/>
        <item x="100"/>
        <item x="5"/>
        <item x="15"/>
        <item x="201"/>
        <item x="51"/>
        <item x="85"/>
        <item x="86"/>
        <item x="130"/>
        <item x="117"/>
        <item x="13"/>
        <item x="190"/>
        <item x="81"/>
        <item x="156"/>
        <item x="67"/>
        <item x="90"/>
        <item x="102"/>
        <item x="193"/>
        <item x="14"/>
        <item x="43"/>
        <item x="61"/>
        <item x="128"/>
        <item x="41"/>
        <item x="159"/>
        <item x="148"/>
        <item x="158"/>
        <item x="200"/>
        <item x="123"/>
        <item x="25"/>
        <item x="115"/>
        <item x="1"/>
        <item x="116"/>
        <item x="42"/>
        <item x="8"/>
        <item x="176"/>
        <item x="77"/>
        <item x="139"/>
        <item x="109"/>
        <item x="44"/>
        <item x="111"/>
        <item x="203"/>
        <item x="47"/>
        <item x="89"/>
        <item x="84"/>
        <item x="199"/>
        <item x="131"/>
        <item x="110"/>
        <item x="120"/>
        <item x="83"/>
        <item x="56"/>
        <item x="188"/>
        <item x="73"/>
        <item x="30"/>
        <item x="179"/>
        <item x="157"/>
        <item x="22"/>
        <item x="124"/>
        <item x="187"/>
        <item x="9"/>
        <item x="59"/>
        <item x="91"/>
        <item x="118"/>
        <item x="82"/>
        <item x="93"/>
        <item x="71"/>
        <item x="202"/>
        <item x="168"/>
        <item x="70"/>
        <item x="163"/>
        <item x="174"/>
        <item x="29"/>
        <item x="126"/>
        <item x="137"/>
        <item x="55"/>
        <item x="68"/>
        <item x="152"/>
        <item x="138"/>
        <item x="36"/>
        <item x="72"/>
        <item x="101"/>
        <item x="162"/>
        <item x="180"/>
        <item x="125"/>
        <item x="76"/>
        <item x="12"/>
        <item x="95"/>
        <item x="171"/>
        <item x="35"/>
        <item x="45"/>
        <item x="74"/>
        <item x="40"/>
        <item x="48"/>
        <item x="183"/>
        <item x="175"/>
        <item x="18"/>
        <item x="153"/>
        <item x="16"/>
        <item x="24"/>
        <item x="58"/>
        <item x="39"/>
        <item x="52"/>
        <item x="141"/>
        <item x="53"/>
        <item x="134"/>
        <item x="143"/>
        <item x="149"/>
        <item x="4"/>
        <item x="112"/>
        <item x="32"/>
        <item x="11"/>
        <item x="31"/>
        <item x="17"/>
        <item x="192"/>
        <item x="33"/>
        <item x="80"/>
        <item x="144"/>
        <item x="50"/>
        <item x="122"/>
        <item x="160"/>
        <item x="186"/>
        <item x="196"/>
        <item x="150"/>
        <item x="136"/>
        <item x="194"/>
        <item x="3"/>
        <item x="46"/>
        <item x="63"/>
        <item x="62"/>
        <item x="54"/>
        <item x="114"/>
        <item x="161"/>
        <item x="177"/>
        <item x="155"/>
        <item x="75"/>
        <item x="108"/>
        <item x="146"/>
        <item x="121"/>
        <item x="132"/>
        <item x="164"/>
        <item x="129"/>
        <item x="97"/>
        <item x="104"/>
        <item x="197"/>
        <item x="10"/>
        <item x="151"/>
        <item x="142"/>
        <item x="106"/>
        <item x="0"/>
        <item x="189"/>
        <item x="6"/>
        <item x="28"/>
        <item x="2"/>
        <item x="98"/>
        <item x="88"/>
        <item x="198"/>
        <item x="107"/>
        <item x="145"/>
        <item x="184"/>
        <item x="103"/>
        <item x="38"/>
        <item t="default"/>
      </items>
    </pivotField>
    <pivotField axis="axisCol" showAll="0" sortType="descending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2"/>
  </rowFields>
  <rowItems count="20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個数 / 内容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A3BA25-8BE0-458A-86AF-E66D3C198E52}" name="ピボットテーブル1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G1:H207" firstHeaderRow="1" firstDataRow="1" firstDataCol="1"/>
  <pivotFields count="7">
    <pivotField showAll="0"/>
    <pivotField showAll="0"/>
    <pivotField axis="axisRow" showAll="0">
      <items count="206">
        <item x="195"/>
        <item x="167"/>
        <item x="170"/>
        <item x="173"/>
        <item x="64"/>
        <item x="147"/>
        <item x="119"/>
        <item x="34"/>
        <item x="185"/>
        <item x="27"/>
        <item x="87"/>
        <item x="181"/>
        <item x="182"/>
        <item x="140"/>
        <item x="23"/>
        <item x="49"/>
        <item x="99"/>
        <item x="79"/>
        <item x="20"/>
        <item x="135"/>
        <item x="21"/>
        <item x="65"/>
        <item x="154"/>
        <item x="26"/>
        <item x="60"/>
        <item x="78"/>
        <item x="37"/>
        <item x="92"/>
        <item x="204"/>
        <item x="169"/>
        <item x="19"/>
        <item x="191"/>
        <item x="57"/>
        <item x="66"/>
        <item x="133"/>
        <item x="96"/>
        <item x="178"/>
        <item x="172"/>
        <item x="105"/>
        <item x="165"/>
        <item x="7"/>
        <item x="127"/>
        <item x="69"/>
        <item x="94"/>
        <item x="166"/>
        <item x="113"/>
        <item x="100"/>
        <item x="5"/>
        <item x="15"/>
        <item x="201"/>
        <item x="51"/>
        <item x="85"/>
        <item x="86"/>
        <item x="130"/>
        <item x="117"/>
        <item x="13"/>
        <item x="190"/>
        <item x="81"/>
        <item x="156"/>
        <item x="67"/>
        <item x="90"/>
        <item x="102"/>
        <item x="193"/>
        <item x="14"/>
        <item x="43"/>
        <item x="61"/>
        <item x="128"/>
        <item x="41"/>
        <item x="159"/>
        <item x="148"/>
        <item x="158"/>
        <item x="200"/>
        <item x="123"/>
        <item x="25"/>
        <item x="115"/>
        <item x="1"/>
        <item x="116"/>
        <item x="42"/>
        <item x="8"/>
        <item x="176"/>
        <item x="77"/>
        <item x="139"/>
        <item x="109"/>
        <item x="44"/>
        <item x="111"/>
        <item x="203"/>
        <item x="47"/>
        <item x="89"/>
        <item x="84"/>
        <item x="199"/>
        <item x="131"/>
        <item x="110"/>
        <item x="120"/>
        <item x="83"/>
        <item x="56"/>
        <item x="188"/>
        <item x="73"/>
        <item x="30"/>
        <item x="179"/>
        <item x="157"/>
        <item x="22"/>
        <item x="124"/>
        <item x="187"/>
        <item x="9"/>
        <item x="59"/>
        <item x="91"/>
        <item x="118"/>
        <item x="82"/>
        <item x="93"/>
        <item x="71"/>
        <item x="202"/>
        <item x="168"/>
        <item x="70"/>
        <item x="163"/>
        <item x="174"/>
        <item x="29"/>
        <item x="126"/>
        <item x="137"/>
        <item x="55"/>
        <item x="68"/>
        <item x="152"/>
        <item x="138"/>
        <item x="36"/>
        <item x="72"/>
        <item x="101"/>
        <item x="162"/>
        <item x="180"/>
        <item x="125"/>
        <item x="76"/>
        <item x="12"/>
        <item x="95"/>
        <item x="171"/>
        <item x="35"/>
        <item x="45"/>
        <item x="74"/>
        <item x="40"/>
        <item x="48"/>
        <item x="183"/>
        <item x="175"/>
        <item x="18"/>
        <item x="153"/>
        <item x="16"/>
        <item x="24"/>
        <item x="58"/>
        <item x="39"/>
        <item x="52"/>
        <item x="141"/>
        <item x="53"/>
        <item x="134"/>
        <item x="143"/>
        <item x="149"/>
        <item x="4"/>
        <item x="112"/>
        <item x="32"/>
        <item x="11"/>
        <item x="31"/>
        <item x="17"/>
        <item x="192"/>
        <item x="33"/>
        <item x="80"/>
        <item x="144"/>
        <item x="50"/>
        <item x="122"/>
        <item x="160"/>
        <item x="186"/>
        <item x="196"/>
        <item x="150"/>
        <item x="136"/>
        <item x="194"/>
        <item x="3"/>
        <item x="46"/>
        <item x="63"/>
        <item x="62"/>
        <item x="54"/>
        <item x="114"/>
        <item x="161"/>
        <item x="177"/>
        <item x="155"/>
        <item x="75"/>
        <item x="108"/>
        <item x="146"/>
        <item x="121"/>
        <item x="132"/>
        <item x="164"/>
        <item x="129"/>
        <item x="97"/>
        <item x="104"/>
        <item x="197"/>
        <item x="10"/>
        <item x="151"/>
        <item x="142"/>
        <item x="106"/>
        <item x="0"/>
        <item x="189"/>
        <item x="6"/>
        <item x="28"/>
        <item x="2"/>
        <item x="98"/>
        <item x="88"/>
        <item x="198"/>
        <item x="107"/>
        <item x="145"/>
        <item x="184"/>
        <item x="103"/>
        <item x="38"/>
        <item t="default"/>
      </items>
    </pivotField>
    <pivotField showAll="0"/>
    <pivotField showAll="0"/>
    <pivotField showAll="0"/>
    <pivotField dataField="1" showAll="0">
      <items count="46">
        <item x="41"/>
        <item x="35"/>
        <item x="22"/>
        <item x="17"/>
        <item x="12"/>
        <item x="43"/>
        <item x="29"/>
        <item x="25"/>
        <item x="42"/>
        <item x="39"/>
        <item x="32"/>
        <item x="11"/>
        <item x="26"/>
        <item x="44"/>
        <item x="16"/>
        <item x="24"/>
        <item x="23"/>
        <item x="1"/>
        <item x="27"/>
        <item x="6"/>
        <item x="8"/>
        <item x="40"/>
        <item x="30"/>
        <item x="28"/>
        <item x="34"/>
        <item x="2"/>
        <item x="7"/>
        <item x="9"/>
        <item x="14"/>
        <item x="13"/>
        <item x="18"/>
        <item x="31"/>
        <item x="37"/>
        <item x="38"/>
        <item x="36"/>
        <item x="33"/>
        <item x="10"/>
        <item x="20"/>
        <item x="3"/>
        <item x="15"/>
        <item x="5"/>
        <item x="4"/>
        <item x="19"/>
        <item x="21"/>
        <item x="0"/>
        <item t="default"/>
      </items>
    </pivotField>
  </pivotFields>
  <rowFields count="1">
    <field x="2"/>
  </rowFields>
  <rowItems count="20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 t="grand">
      <x/>
    </i>
  </rowItems>
  <colItems count="1">
    <i/>
  </colItems>
  <dataFields count="1">
    <dataField name="個数 / 一人で複数あげている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A60188-ECCA-4ACB-B033-992E9BB716E9}" name="ピボットテーブル5" cacheId="1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B41:E46" firstHeaderRow="1" firstDataRow="2" firstDataCol="1"/>
  <pivotFields count="17">
    <pivotField dataField="1"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m="1" x="3"/>
        <item t="default"/>
      </items>
    </pivotField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個数 / ポケモン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072027-6E60-4800-B3B5-020C8F9E211B}" name="ピボットテーブル2" cacheId="1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B33:E38" firstHeaderRow="1" firstDataRow="2" firstDataCol="1"/>
  <pivotFields count="17">
    <pivotField showAll="0"/>
    <pivotField dataField="1" showAll="0"/>
    <pivotField showAll="0"/>
    <pivotField showAll="0"/>
    <pivotField showAll="0"/>
    <pivotField axis="axisRow" showAll="0">
      <items count="5">
        <item x="2"/>
        <item x="0"/>
        <item x="1"/>
        <item m="1" x="3"/>
        <item t="default"/>
      </items>
    </pivotField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合計 / 言われた回数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E50F17-9026-4735-A127-893A2CA25A98}" name="ピボットテーブル4" cacheId="1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 chartFormat="11">
  <location ref="L19:N30" firstHeaderRow="1" firstDataRow="2" firstDataCol="1"/>
  <pivotFields count="17">
    <pivotField showAll="0"/>
    <pivotField dataField="1" showAll="0"/>
    <pivotField showAll="0"/>
    <pivotField showAll="0"/>
    <pivotField axis="axisRow" showAll="0" sortType="descending">
      <items count="21">
        <item m="1" x="19"/>
        <item m="1" x="16"/>
        <item m="1" x="18"/>
        <item m="1" x="15"/>
        <item x="1"/>
        <item m="1" x="17"/>
        <item m="1" x="10"/>
        <item m="1" x="11"/>
        <item m="1" x="12"/>
        <item m="1" x="13"/>
        <item x="4"/>
        <item x="7"/>
        <item m="1" x="9"/>
        <item x="2"/>
        <item x="5"/>
        <item x="8"/>
        <item x="0"/>
        <item m="1" x="14"/>
        <item x="3"/>
        <item x="6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0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axis="axisCol" showAll="0" sortType="descending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10">
    <i>
      <x v="16"/>
    </i>
    <i>
      <x v="10"/>
    </i>
    <i>
      <x v="14"/>
    </i>
    <i>
      <x v="19"/>
    </i>
    <i>
      <x v="4"/>
    </i>
    <i>
      <x v="18"/>
    </i>
    <i>
      <x v="15"/>
    </i>
    <i>
      <x v="11"/>
    </i>
    <i>
      <x v="13"/>
    </i>
    <i t="grand">
      <x/>
    </i>
  </rowItems>
  <colFields count="1">
    <field x="10"/>
  </colFields>
  <colItems count="2">
    <i>
      <x v="1"/>
    </i>
    <i t="grand">
      <x/>
    </i>
  </colItems>
  <dataFields count="1">
    <dataField name="合計 / 言われた回数" fld="1" baseField="0" baseItem="0"/>
  </dataFields>
  <chartFormats count="1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0" format="2">
      <pivotArea type="data" outline="0" fieldPosition="0">
        <references count="3">
          <reference field="4294967294" count="1" selected="0">
            <x v="0"/>
          </reference>
          <reference field="4" count="1" selected="0">
            <x v="16"/>
          </reference>
          <reference field="10" count="1" selected="0">
            <x v="1"/>
          </reference>
        </references>
      </pivotArea>
    </chartFormat>
    <chartFormat chart="10" format="3">
      <pivotArea type="data" outline="0" fieldPosition="0">
        <references count="3">
          <reference field="4294967294" count="1" selected="0">
            <x v="0"/>
          </reference>
          <reference field="4" count="1" selected="0">
            <x v="18"/>
          </reference>
          <reference field="10" count="1" selected="0">
            <x v="1"/>
          </reference>
        </references>
      </pivotArea>
    </chartFormat>
    <chartFormat chart="10" format="4">
      <pivotArea type="data" outline="0" fieldPosition="0">
        <references count="3">
          <reference field="4294967294" count="1" selected="0">
            <x v="0"/>
          </reference>
          <reference field="4" count="1" selected="0">
            <x v="15"/>
          </reference>
          <reference field="10" count="1" selected="0">
            <x v="1"/>
          </reference>
        </references>
      </pivotArea>
    </chartFormat>
    <chartFormat chart="10" format="5">
      <pivotArea type="data" outline="0" fieldPosition="0">
        <references count="3">
          <reference field="4294967294" count="1" selected="0">
            <x v="0"/>
          </reference>
          <reference field="4" count="1" selected="0">
            <x v="14"/>
          </reference>
          <reference field="10" count="1" selected="0">
            <x v="1"/>
          </reference>
        </references>
      </pivotArea>
    </chartFormat>
    <chartFormat chart="10" format="6">
      <pivotArea type="data" outline="0" fieldPosition="0">
        <references count="3">
          <reference field="4294967294" count="1" selected="0">
            <x v="0"/>
          </reference>
          <reference field="4" count="1" selected="0">
            <x v="19"/>
          </reference>
          <reference field="10" count="1" selected="0">
            <x v="1"/>
          </reference>
        </references>
      </pivotArea>
    </chartFormat>
    <chartFormat chart="10" format="7">
      <pivotArea type="data" outline="0" fieldPosition="0">
        <references count="3">
          <reference field="4294967294" count="1" selected="0">
            <x v="0"/>
          </reference>
          <reference field="4" count="1" selected="0">
            <x v="13"/>
          </reference>
          <reference field="10" count="1" selected="0">
            <x v="1"/>
          </reference>
        </references>
      </pivotArea>
    </chartFormat>
    <chartFormat chart="10" format="8">
      <pivotArea type="data" outline="0" fieldPosition="0">
        <references count="3">
          <reference field="4294967294" count="1" selected="0">
            <x v="0"/>
          </reference>
          <reference field="4" count="1" selected="0">
            <x v="11"/>
          </reference>
          <reference field="10" count="1" selected="0">
            <x v="1"/>
          </reference>
        </references>
      </pivotArea>
    </chartFormat>
    <chartFormat chart="10" format="9">
      <pivotArea type="data" outline="0" fieldPosition="0">
        <references count="3">
          <reference field="4294967294" count="1" selected="0">
            <x v="0"/>
          </reference>
          <reference field="4" count="1" selected="0">
            <x v="10"/>
          </reference>
          <reference field="10" count="1" selected="0">
            <x v="1"/>
          </reference>
        </references>
      </pivotArea>
    </chartFormat>
    <chartFormat chart="10" format="10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97F96F-896F-4D49-BF76-2718D0F90D26}" name="ピボットテーブル3" cacheId="1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 chartFormat="11">
  <location ref="F19:H27" firstHeaderRow="1" firstDataRow="2" firstDataCol="1"/>
  <pivotFields count="17">
    <pivotField showAll="0"/>
    <pivotField dataField="1" showAll="0"/>
    <pivotField showAll="0"/>
    <pivotField showAll="0"/>
    <pivotField axis="axisRow" showAll="0" sortType="descending">
      <items count="21">
        <item x="6"/>
        <item x="3"/>
        <item m="1" x="14"/>
        <item x="0"/>
        <item x="8"/>
        <item x="5"/>
        <item x="2"/>
        <item m="1" x="9"/>
        <item x="7"/>
        <item x="4"/>
        <item m="1" x="13"/>
        <item m="1" x="12"/>
        <item m="1" x="11"/>
        <item m="1" x="10"/>
        <item m="1" x="17"/>
        <item x="1"/>
        <item m="1" x="15"/>
        <item m="1" x="18"/>
        <item m="1" x="16"/>
        <item m="1" x="19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0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axis="axisCol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 v="3"/>
    </i>
    <i>
      <x v="9"/>
    </i>
    <i>
      <x v="15"/>
    </i>
    <i>
      <x v="6"/>
    </i>
    <i>
      <x v="1"/>
    </i>
    <i>
      <x v="5"/>
    </i>
    <i t="grand">
      <x/>
    </i>
  </rowItems>
  <colFields count="1">
    <field x="10"/>
  </colFields>
  <colItems count="2">
    <i>
      <x v="1"/>
    </i>
    <i t="grand">
      <x/>
    </i>
  </colItems>
  <dataFields count="1">
    <dataField name="合計 / 言われた回数" fld="1" baseField="0" baseItem="0"/>
  </dataFields>
  <chartFormats count="8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8" format="2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10" count="1" selected="0">
            <x v="1"/>
          </reference>
        </references>
      </pivotArea>
    </chartFormat>
    <chartFormat chart="8" format="3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0" count="1" selected="0">
            <x v="1"/>
          </reference>
        </references>
      </pivotArea>
    </chartFormat>
    <chartFormat chart="8" format="4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10" count="1" selected="0">
            <x v="1"/>
          </reference>
        </references>
      </pivotArea>
    </chartFormat>
    <chartFormat chart="8" format="5">
      <pivotArea type="data" outline="0" fieldPosition="0">
        <references count="3">
          <reference field="4294967294" count="1" selected="0">
            <x v="0"/>
          </reference>
          <reference field="4" count="1" selected="0">
            <x v="15"/>
          </reference>
          <reference field="10" count="1" selected="0">
            <x v="1"/>
          </reference>
        </references>
      </pivotArea>
    </chartFormat>
    <chartFormat chart="8" format="6">
      <pivotArea type="data" outline="0" fieldPosition="0">
        <references count="3">
          <reference field="4294967294" count="1" selected="0">
            <x v="0"/>
          </reference>
          <reference field="4" count="1" selected="0">
            <x v="6"/>
          </reference>
          <reference field="10" count="1" selected="0">
            <x v="1"/>
          </reference>
        </references>
      </pivotArea>
    </chartFormat>
    <chartFormat chart="8" format="7">
      <pivotArea type="data" outline="0" fieldPosition="0">
        <references count="3">
          <reference field="4294967294" count="1" selected="0">
            <x v="0"/>
          </reference>
          <reference field="4" count="1" selected="0">
            <x v="9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C8C702-69EA-4007-9601-23CC0265C7CB}" name="ピボットテーブル1" cacheId="1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 chartFormat="3">
  <location ref="A19:B29" firstHeaderRow="1" firstDataRow="1" firstDataCol="1"/>
  <pivotFields count="17">
    <pivotField showAll="0"/>
    <pivotField dataField="1" showAll="0"/>
    <pivotField showAll="0"/>
    <pivotField showAll="0"/>
    <pivotField axis="axisRow" showAll="0" sortType="descending">
      <items count="21">
        <item x="6"/>
        <item x="3"/>
        <item m="1" x="14"/>
        <item x="0"/>
        <item x="8"/>
        <item x="2"/>
        <item m="1" x="9"/>
        <item x="7"/>
        <item x="4"/>
        <item m="1" x="13"/>
        <item m="1" x="12"/>
        <item m="1" x="11"/>
        <item m="1" x="17"/>
        <item x="1"/>
        <item m="1" x="15"/>
        <item m="1" x="18"/>
        <item m="1" x="16"/>
        <item m="1" x="19"/>
        <item x="5"/>
        <item m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0">
    <i>
      <x v="3"/>
    </i>
    <i>
      <x v="8"/>
    </i>
    <i>
      <x v="18"/>
    </i>
    <i>
      <x v="13"/>
    </i>
    <i>
      <x/>
    </i>
    <i>
      <x v="1"/>
    </i>
    <i>
      <x v="4"/>
    </i>
    <i>
      <x v="5"/>
    </i>
    <i>
      <x v="7"/>
    </i>
    <i t="grand">
      <x/>
    </i>
  </rowItems>
  <colItems count="1">
    <i/>
  </colItems>
  <dataFields count="1">
    <dataField name="合計 / 言われた回数" fld="1" baseField="0" baseItem="0"/>
  </dataFields>
  <formats count="12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4" type="button" dataOnly="0" labelOnly="1" outline="0" axis="axisRow" fieldPosition="0"/>
    </format>
    <format dxfId="32">
      <pivotArea dataOnly="0" labelOnly="1" fieldPosition="0">
        <references count="1">
          <reference field="4" count="0"/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4" type="button" dataOnly="0" labelOnly="1" outline="0" axis="axisRow" fieldPosition="0"/>
    </format>
    <format dxfId="26">
      <pivotArea dataOnly="0" labelOnly="1" fieldPosition="0">
        <references count="1">
          <reference field="4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97ED36-19BD-430A-B9E4-C7A0D4859923}" name="ピボットテーブル2" cacheId="1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 chartFormat="2">
  <location ref="A1:B11" firstHeaderRow="1" firstDataRow="1" firstDataCol="1"/>
  <pivotFields count="17">
    <pivotField showAll="0">
      <items count="205">
        <item x="196"/>
        <item x="104"/>
        <item x="107"/>
        <item x="109"/>
        <item x="8"/>
        <item x="173"/>
        <item x="137"/>
        <item x="65"/>
        <item x="191"/>
        <item x="63"/>
        <item x="129"/>
        <item x="114"/>
        <item x="188"/>
        <item x="170"/>
        <item x="40"/>
        <item x="56"/>
        <item x="83"/>
        <item x="37"/>
        <item x="60"/>
        <item x="168"/>
        <item x="21"/>
        <item x="71"/>
        <item x="97"/>
        <item x="2"/>
        <item x="18"/>
        <item x="155"/>
        <item x="146"/>
        <item x="76"/>
        <item x="201"/>
        <item x="106"/>
        <item x="144"/>
        <item x="192"/>
        <item x="43"/>
        <item x="36"/>
        <item x="203"/>
        <item x="80"/>
        <item x="185"/>
        <item x="184"/>
        <item x="45"/>
        <item x="102"/>
        <item x="30"/>
        <item x="91"/>
        <item x="53"/>
        <item x="78"/>
        <item x="103"/>
        <item x="160"/>
        <item x="157"/>
        <item x="57"/>
        <item x="4"/>
        <item x="198"/>
        <item x="124"/>
        <item x="74"/>
        <item x="25"/>
        <item x="93"/>
        <item x="47"/>
        <item x="131"/>
        <item x="119"/>
        <item x="29"/>
        <item x="180"/>
        <item x="23"/>
        <item x="28"/>
        <item x="85"/>
        <item x="194"/>
        <item x="143"/>
        <item x="140"/>
        <item x="3"/>
        <item x="125"/>
        <item x="66"/>
        <item x="183"/>
        <item x="174"/>
        <item x="182"/>
        <item x="197"/>
        <item x="166"/>
        <item x="62"/>
        <item x="162"/>
        <item x="13"/>
        <item x="46"/>
        <item x="7"/>
        <item x="141"/>
        <item x="112"/>
        <item x="154"/>
        <item x="139"/>
        <item x="156"/>
        <item x="147"/>
        <item x="89"/>
        <item x="200"/>
        <item x="50"/>
        <item x="51"/>
        <item x="38"/>
        <item x="123"/>
        <item x="52"/>
        <item x="159"/>
        <item x="163"/>
        <item x="44"/>
        <item x="152"/>
        <item x="117"/>
        <item x="133"/>
        <item x="22"/>
        <item x="186"/>
        <item x="181"/>
        <item x="61"/>
        <item x="20"/>
        <item x="116"/>
        <item x="10"/>
        <item x="69"/>
        <item x="75"/>
        <item x="132"/>
        <item x="72"/>
        <item x="77"/>
        <item x="17"/>
        <item x="199"/>
        <item x="105"/>
        <item x="73"/>
        <item x="101"/>
        <item x="110"/>
        <item x="41"/>
        <item x="16"/>
        <item x="176"/>
        <item x="35"/>
        <item x="39"/>
        <item x="95"/>
        <item x="94"/>
        <item x="145"/>
        <item x="27"/>
        <item x="84"/>
        <item x="100"/>
        <item x="187"/>
        <item x="12"/>
        <item x="148"/>
        <item x="142"/>
        <item x="79"/>
        <item x="108"/>
        <item x="42"/>
        <item x="9"/>
        <item x="67"/>
        <item x="15"/>
        <item x="55"/>
        <item x="189"/>
        <item x="111"/>
        <item x="14"/>
        <item x="178"/>
        <item x="58"/>
        <item x="6"/>
        <item x="68"/>
        <item x="1"/>
        <item x="149"/>
        <item x="171"/>
        <item x="150"/>
        <item x="167"/>
        <item x="96"/>
        <item x="127"/>
        <item x="19"/>
        <item x="90"/>
        <item x="32"/>
        <item x="54"/>
        <item x="31"/>
        <item x="59"/>
        <item x="193"/>
        <item x="64"/>
        <item x="134"/>
        <item x="48"/>
        <item x="128"/>
        <item x="165"/>
        <item x="98"/>
        <item x="115"/>
        <item x="120"/>
        <item x="175"/>
        <item x="169"/>
        <item x="195"/>
        <item x="0"/>
        <item x="11"/>
        <item x="26"/>
        <item x="70"/>
        <item x="151"/>
        <item x="161"/>
        <item x="99"/>
        <item x="113"/>
        <item x="179"/>
        <item x="153"/>
        <item x="136"/>
        <item x="126"/>
        <item x="164"/>
        <item x="202"/>
        <item x="49"/>
        <item x="92"/>
        <item x="81"/>
        <item x="158"/>
        <item x="121"/>
        <item x="5"/>
        <item x="177"/>
        <item x="172"/>
        <item x="87"/>
        <item x="33"/>
        <item x="118"/>
        <item x="34"/>
        <item x="130"/>
        <item x="24"/>
        <item x="82"/>
        <item x="135"/>
        <item x="122"/>
        <item x="88"/>
        <item x="138"/>
        <item x="190"/>
        <item x="86"/>
        <item t="default"/>
      </items>
    </pivotField>
    <pivotField showAll="0"/>
    <pivotField showAll="0"/>
    <pivotField showAll="0"/>
    <pivotField axis="axisRow" showAll="0" sortType="descending">
      <items count="21">
        <item x="6"/>
        <item x="3"/>
        <item m="1" x="14"/>
        <item x="0"/>
        <item x="8"/>
        <item x="5"/>
        <item x="2"/>
        <item m="1" x="9"/>
        <item x="7"/>
        <item x="4"/>
        <item m="1" x="13"/>
        <item m="1" x="12"/>
        <item m="1" x="11"/>
        <item m="1" x="10"/>
        <item m="1" x="17"/>
        <item x="1"/>
        <item m="1" x="15"/>
        <item m="1" x="18"/>
        <item m="1" x="16"/>
        <item m="1"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2"/>
        <item x="0"/>
        <item x="1"/>
        <item m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10">
    <i>
      <x v="3"/>
    </i>
    <i>
      <x v="9"/>
    </i>
    <i>
      <x v="5"/>
    </i>
    <i>
      <x v="1"/>
    </i>
    <i>
      <x/>
    </i>
    <i>
      <x v="15"/>
    </i>
    <i>
      <x v="8"/>
    </i>
    <i>
      <x v="6"/>
    </i>
    <i>
      <x v="4"/>
    </i>
    <i t="grand">
      <x/>
    </i>
  </rowItems>
  <colItems count="1">
    <i/>
  </colItems>
  <dataFields count="1">
    <dataField name="合計 / 一人で複数あげている人があげた回数" fld="16" baseField="0" baseItem="0"/>
  </dataFields>
  <formats count="14">
    <format dxfId="18">
      <pivotArea dataOnly="0" outline="0" axis="axisValues" fieldPosition="0"/>
    </format>
    <format dxfId="17">
      <pivotArea dataOnly="0" labelOnly="1" outline="0" axis="axisValues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4" type="button" dataOnly="0" labelOnly="1" outline="0" axis="axisRow" fieldPosition="0"/>
    </format>
    <format dxfId="13">
      <pivotArea dataOnly="0" labelOnly="1" fieldPosition="0">
        <references count="1">
          <reference field="4" count="0"/>
        </references>
      </pivotArea>
    </format>
    <format dxfId="12">
      <pivotArea dataOnly="0" labelOnly="1" grandRow="1" outline="0" fieldPosition="0"/>
    </format>
    <format dxfId="11">
      <pivotArea dataOnly="0" labelOnly="1" outline="0" axis="axisValues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field="4" type="button" dataOnly="0" labelOnly="1" outline="0" axis="axisRow" fieldPosition="0"/>
    </format>
    <format dxfId="7">
      <pivotArea dataOnly="0" labelOnly="1" fieldPosition="0">
        <references count="1">
          <reference field="4" count="0"/>
        </references>
      </pivotArea>
    </format>
    <format dxfId="6">
      <pivotArea dataOnly="0" labelOnly="1" grandRow="1" outline="0" fieldPosition="0"/>
    </format>
    <format dxfId="5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94C4D9-4895-47BB-AE52-B5B9FA5D844B}" name="テーブル1" displayName="テーブル1" ref="A1:G375" totalsRowShown="0" headerRowDxfId="63" dataDxfId="62">
  <autoFilter ref="A1:G375" xr:uid="{EF94C4D9-4895-47BB-AE52-B5B9FA5D844B}"/>
  <sortState xmlns:xlrd2="http://schemas.microsoft.com/office/spreadsheetml/2017/richdata2" ref="A2:G375">
    <sortCondition ref="A1:A375"/>
  </sortState>
  <tableColumns count="7">
    <tableColumn id="4" xr3:uid="{6C0C1F31-F0CD-4E0F-8F76-848A864F4A9E}" name="番号" dataDxfId="61"/>
    <tableColumn id="1" xr3:uid="{0A7E06DA-7319-4EE9-8E76-5FA105EF0BE2}" name="発言者" dataDxfId="60"/>
    <tableColumn id="2" xr3:uid="{6CD36568-4156-43A5-B55D-089C978A3DE3}" name="内容" dataDxfId="59"/>
    <tableColumn id="5" xr3:uid="{41237C39-A9F3-4171-B17B-3F90445912D7}" name="自己レスの前か後か" dataDxfId="58"/>
    <tableColumn id="3" xr3:uid="{F7932237-51DC-4250-AB23-5AD9ED9432FC}" name="別の言及" dataDxfId="57"/>
    <tableColumn id="6" xr3:uid="{B7FE06DD-7F53-4883-9749-7040661F1E99}" name="マスタに登録忘れてない？" dataDxfId="56">
      <calculatedColumnFormula>IF(ISNA(VLOOKUP(テーブル1[[#This Row],[内容]],ポケモンマスタ!A:A,1,FALSE)),"error","ok")</calculatedColumnFormula>
    </tableColumn>
    <tableColumn id="7" xr3:uid="{E7B6BA8F-8D55-400D-888C-E06D5BB7543A}" name="一人で複数あげている" dataDxfId="5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6FB39B-31B9-4323-96BA-2CA86386C533}" name="テーブル2" displayName="テーブル2" ref="A1:Q205" totalsRowShown="0" headerRowDxfId="54" dataDxfId="53">
  <autoFilter ref="A1:Q205" xr:uid="{236FB39B-31B9-4323-96BA-2CA86386C533}"/>
  <sortState xmlns:xlrd2="http://schemas.microsoft.com/office/spreadsheetml/2017/richdata2" ref="A2:Q205">
    <sortCondition descending="1" ref="Q1:Q205"/>
  </sortState>
  <tableColumns count="17">
    <tableColumn id="1" xr3:uid="{FC01CAFC-B5D0-45D9-9A33-C8F739884168}" name="ポケモン" dataDxfId="52"/>
    <tableColumn id="2" xr3:uid="{750608BD-828A-413F-8E6F-A32F640467C5}" name="言われた回数" dataDxfId="51">
      <calculatedColumnFormula>COUNTIFS(全コメントデータ!C:C,テーブル2[[#This Row],[ポケモン]],全コメントデータ!D:D,"&lt;&gt;"&amp;"自己レス")</calculatedColumnFormula>
    </tableColumn>
    <tableColumn id="11" xr3:uid="{D765812C-711D-43FA-B9DF-664747A7CC5E}" name="うち、自己レス前" dataDxfId="50">
      <calculatedColumnFormula>COUNTIFS(全コメントデータ!C:C,テーブル2[[#This Row],[ポケモン]],全コメントデータ!D:D,"自己レスの前")</calculatedColumnFormula>
    </tableColumn>
    <tableColumn id="12" xr3:uid="{33498782-CFF7-4B72-91C8-D415A065A803}" name="うち、自己レス後" dataDxfId="49">
      <calculatedColumnFormula>COUNTIFS(全コメントデータ!C:C,テーブル2[[#This Row],[ポケモン]],全コメントデータ!D:D,"自己レスの後")</calculatedColumnFormula>
    </tableColumn>
    <tableColumn id="3" xr3:uid="{78F92EEF-B31E-4654-ADED-E91CF44EA7E5}" name="一言で言えば" dataDxfId="48"/>
    <tableColumn id="14" xr3:uid="{AA7AFC20-7857-4663-BF90-820BDC3910AA}" name="ジェンダー" dataDxfId="47"/>
    <tableColumn id="4" xr3:uid="{9B0EA29D-E573-4839-92B6-07611E83A48D}" name="タイプ１" dataDxfId="46"/>
    <tableColumn id="5" xr3:uid="{A1F1EA07-98CC-481A-96E9-523E67B81D8C}" name="タイプ２" dataDxfId="45"/>
    <tableColumn id="10" xr3:uid="{1D5AAC28-69C9-4FC0-AF84-112886D94299}" name="知名度" dataDxfId="44"/>
    <tableColumn id="15" xr3:uid="{C31FD744-57F8-4BDC-9A22-30DDBCE25F96}" name="どのトレーナーの？" dataDxfId="43"/>
    <tableColumn id="16" xr3:uid="{15987068-C54C-41E4-AF1D-A6C8F4169CC2}" name="その意見は" dataDxfId="42">
      <calculatedColumnFormula>IF(テーブル2[[#This Row],[言われた回数]]&gt;2,"多数派","少数派")</calculatedColumnFormula>
    </tableColumn>
    <tableColumn id="6" xr3:uid="{800FAAC1-3FF6-4804-9DCF-4ABD322C0613}" name="かわいさ" dataDxfId="41"/>
    <tableColumn id="7" xr3:uid="{24F8EB14-B94E-4820-AF5D-406B5ACC44E8}" name="かっこよさ" dataDxfId="40"/>
    <tableColumn id="8" xr3:uid="{6334AF91-5C53-4F2E-8ABC-4A3C5CFB77E0}" name="うつくしさ" dataDxfId="39"/>
    <tableColumn id="13" xr3:uid="{F7D38A30-2884-4576-A27D-7588710CB457}" name="個性的" dataDxfId="38"/>
    <tableColumn id="9" xr3:uid="{8DB66DCD-46BC-490F-BE7E-47F2C810DB3C}" name="対戦強さ" dataDxfId="37"/>
    <tableColumn id="17" xr3:uid="{8989643B-13B3-4B13-BB5D-350B3B5293FE}" name="一人で複数あげている人があげた回数" dataDxfId="36">
      <calculatedColumnFormula>COUNTIFS(全コメントデータ!C:C,テーブル2[[#This Row],[ポケモン]],全コメントデータ!G:G,"&lt;&gt;"&amp;"")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7922FC-25B2-499B-98DA-2B2CC4AF98B5}" name="テーブル3" displayName="テーブル3" ref="A2:C20" totalsRowShown="0" headerRowDxfId="23" dataDxfId="22">
  <autoFilter ref="A2:C20" xr:uid="{087922FC-25B2-499B-98DA-2B2CC4AF98B5}"/>
  <sortState xmlns:xlrd2="http://schemas.microsoft.com/office/spreadsheetml/2017/richdata2" ref="A3:C20">
    <sortCondition descending="1" ref="C2:C20"/>
  </sortState>
  <tableColumns count="3">
    <tableColumn id="3" xr3:uid="{22964F48-B8EA-45CC-8976-AB36BCD0B9C7}" name="タイプ番号" dataDxfId="21"/>
    <tableColumn id="1" xr3:uid="{B7EBA6E3-7BD9-4F8E-AB93-9B3C4F29F6E6}" name="タイプ" dataDxfId="20"/>
    <tableColumn id="2" xr3:uid="{2798F127-67FF-4809-A400-10882FC0C3FD}" name="１と２のあわせた出現回数" dataDxfId="19">
      <calculatedColumnFormula array="1">SUMPRODUCT(((ポケモンマスタ!G$2:G$205=B3)+(ポケモンマスタ!H$2:H$205=B3))*(ポケモンマスタ!B$2:B$205))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1C5E94-116B-445D-861A-44146F132B10}" name="テーブル36" displayName="テーブル36" ref="A13:C31" totalsRowShown="0" headerRowDxfId="4" dataDxfId="3">
  <autoFilter ref="A13:C31" xr:uid="{8C1C5E94-116B-445D-861A-44146F132B10}"/>
  <sortState xmlns:xlrd2="http://schemas.microsoft.com/office/spreadsheetml/2017/richdata2" ref="A14:C31">
    <sortCondition descending="1" ref="C13:C31"/>
  </sortState>
  <tableColumns count="3">
    <tableColumn id="3" xr3:uid="{B94101BA-8953-4273-BAE2-DD74D7E18949}" name="タイプ番号" dataDxfId="2"/>
    <tableColumn id="1" xr3:uid="{EBE0BDF0-950B-4D6C-90D0-854805B8D11B}" name="タイプ" dataDxfId="1"/>
    <tableColumn id="2" xr3:uid="{A1F2C2B1-CDF5-4972-933D-F12DE1F41B28}" name="１と２のあわせた出現回数" dataDxfId="0">
      <calculatedColumnFormula array="1">SUMPRODUCT(((ポケモンマスタ!G$2:G$205=B14)+(ポケモンマスタ!H$2:H$205=B14))*(ポケモンマスタ!Q$2:Q$205))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B6"/>
  <sheetViews>
    <sheetView workbookViewId="0">
      <selection activeCell="B2" sqref="B1:B2"/>
    </sheetView>
  </sheetViews>
  <sheetFormatPr defaultRowHeight="18"/>
  <cols>
    <col min="1" max="1" width="23.5" customWidth="1"/>
    <col min="2" max="2" width="58.58203125" customWidth="1"/>
  </cols>
  <sheetData>
    <row r="1" spans="1:2">
      <c r="A1" s="3" t="s">
        <v>0</v>
      </c>
      <c r="B1" s="3" t="s">
        <v>3</v>
      </c>
    </row>
    <row r="2" spans="1:2">
      <c r="A2" s="3" t="s">
        <v>1</v>
      </c>
      <c r="B2" s="3" t="s">
        <v>2</v>
      </c>
    </row>
    <row r="3" spans="1:2">
      <c r="A3" s="3"/>
      <c r="B3" s="3"/>
    </row>
    <row r="4" spans="1:2" ht="108">
      <c r="A4" s="4" t="s">
        <v>397</v>
      </c>
      <c r="B4" s="4" t="s">
        <v>388</v>
      </c>
    </row>
    <row r="6" spans="1:2">
      <c r="A6" s="3"/>
      <c r="B6" s="3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31C9A-7F3C-4789-A041-107D9F84CEDC}">
  <sheetPr>
    <tabColor rgb="FFFFFF00"/>
  </sheetPr>
  <dimension ref="A1:G375"/>
  <sheetViews>
    <sheetView tabSelected="1" workbookViewId="0">
      <pane ySplit="1" topLeftCell="A17" activePane="bottomLeft" state="frozen"/>
      <selection pane="bottomLeft" activeCell="B22" sqref="B22"/>
    </sheetView>
  </sheetViews>
  <sheetFormatPr defaultColWidth="8.83203125" defaultRowHeight="18"/>
  <cols>
    <col min="1" max="1" width="8.83203125" style="3"/>
    <col min="2" max="2" width="20.5" style="3" customWidth="1"/>
    <col min="3" max="3" width="12.1640625" style="3" customWidth="1"/>
    <col min="4" max="4" width="14.83203125" style="3" customWidth="1"/>
    <col min="5" max="5" width="43.9140625" style="3" customWidth="1"/>
    <col min="6" max="6" width="14.4140625" style="3" customWidth="1"/>
    <col min="7" max="7" width="17.08203125" style="3" customWidth="1"/>
    <col min="8" max="16384" width="8.83203125" style="3"/>
  </cols>
  <sheetData>
    <row r="1" spans="1:7" ht="36">
      <c r="A1" s="3" t="s">
        <v>365</v>
      </c>
      <c r="B1" s="3" t="s">
        <v>17</v>
      </c>
      <c r="C1" s="3" t="s">
        <v>7</v>
      </c>
      <c r="D1" s="4" t="s">
        <v>396</v>
      </c>
      <c r="E1" s="3" t="s">
        <v>61</v>
      </c>
      <c r="F1" s="4" t="s">
        <v>476</v>
      </c>
      <c r="G1" s="4" t="s">
        <v>858</v>
      </c>
    </row>
    <row r="2" spans="1:7">
      <c r="A2" s="3">
        <v>1</v>
      </c>
      <c r="B2" s="3" t="s">
        <v>30</v>
      </c>
      <c r="C2" s="3" t="s">
        <v>19</v>
      </c>
      <c r="D2" s="3" t="s">
        <v>402</v>
      </c>
      <c r="F2" s="3" t="str">
        <f>IF(ISNA(VLOOKUP(テーブル1[[#This Row],[内容]],ポケモンマスタ!A:A,1,FALSE)),"error","ok")</f>
        <v>ok</v>
      </c>
    </row>
    <row r="3" spans="1:7">
      <c r="A3" s="3">
        <v>2</v>
      </c>
      <c r="B3" s="3" t="s">
        <v>31</v>
      </c>
      <c r="C3" s="3" t="s">
        <v>21</v>
      </c>
      <c r="D3" s="3" t="s">
        <v>402</v>
      </c>
      <c r="F3" s="3" t="str">
        <f>IF(ISNA(VLOOKUP(テーブル1[[#This Row],[内容]],ポケモンマスタ!A:A,1,FALSE)),"error","ok")</f>
        <v>ok</v>
      </c>
      <c r="G3" s="3" t="s">
        <v>31</v>
      </c>
    </row>
    <row r="4" spans="1:7">
      <c r="A4" s="3">
        <v>3</v>
      </c>
      <c r="B4" s="3" t="s">
        <v>31</v>
      </c>
      <c r="C4" s="3" t="s">
        <v>23</v>
      </c>
      <c r="D4" s="3" t="s">
        <v>402</v>
      </c>
      <c r="F4" s="3" t="str">
        <f>IF(ISNA(VLOOKUP(テーブル1[[#This Row],[内容]],ポケモンマスタ!A:A,1,FALSE)),"error","ok")</f>
        <v>ok</v>
      </c>
      <c r="G4" s="3" t="s">
        <v>31</v>
      </c>
    </row>
    <row r="5" spans="1:7">
      <c r="A5" s="3">
        <v>4</v>
      </c>
      <c r="B5" s="3" t="s">
        <v>31</v>
      </c>
      <c r="C5" s="3" t="s">
        <v>16</v>
      </c>
      <c r="D5" s="3" t="s">
        <v>402</v>
      </c>
      <c r="F5" s="3" t="str">
        <f>IF(ISNA(VLOOKUP(テーブル1[[#This Row],[内容]],ポケモンマスタ!A:A,1,FALSE)),"error","ok")</f>
        <v>ok</v>
      </c>
      <c r="G5" s="3" t="s">
        <v>31</v>
      </c>
    </row>
    <row r="6" spans="1:7">
      <c r="A6" s="3">
        <v>5</v>
      </c>
      <c r="B6" s="3" t="s">
        <v>31</v>
      </c>
      <c r="C6" s="3" t="s">
        <v>25</v>
      </c>
      <c r="D6" s="3" t="s">
        <v>402</v>
      </c>
      <c r="F6" s="3" t="str">
        <f>IF(ISNA(VLOOKUP(テーブル1[[#This Row],[内容]],ポケモンマスタ!A:A,1,FALSE)),"error","ok")</f>
        <v>ok</v>
      </c>
      <c r="G6" s="3" t="s">
        <v>31</v>
      </c>
    </row>
    <row r="7" spans="1:7">
      <c r="A7" s="3">
        <v>6</v>
      </c>
      <c r="B7" s="3" t="s">
        <v>31</v>
      </c>
      <c r="C7" s="3" t="s">
        <v>27</v>
      </c>
      <c r="D7" s="3" t="s">
        <v>402</v>
      </c>
      <c r="F7" s="3" t="str">
        <f>IF(ISNA(VLOOKUP(テーブル1[[#This Row],[内容]],ポケモンマスタ!A:A,1,FALSE)),"error","ok")</f>
        <v>ok</v>
      </c>
      <c r="G7" s="3" t="s">
        <v>31</v>
      </c>
    </row>
    <row r="8" spans="1:7">
      <c r="A8" s="3">
        <v>7</v>
      </c>
      <c r="B8" s="3" t="s">
        <v>31</v>
      </c>
      <c r="C8" s="3" t="s">
        <v>29</v>
      </c>
      <c r="D8" s="3" t="s">
        <v>402</v>
      </c>
      <c r="F8" s="3" t="str">
        <f>IF(ISNA(VLOOKUP(テーブル1[[#This Row],[内容]],ポケモンマスタ!A:A,1,FALSE)),"error","ok")</f>
        <v>ok</v>
      </c>
      <c r="G8" s="3" t="s">
        <v>31</v>
      </c>
    </row>
    <row r="9" spans="1:7">
      <c r="A9" s="3">
        <v>8</v>
      </c>
      <c r="B9" s="3" t="s">
        <v>32</v>
      </c>
      <c r="C9" s="3" t="s">
        <v>34</v>
      </c>
      <c r="D9" s="3" t="s">
        <v>402</v>
      </c>
      <c r="F9" s="3" t="str">
        <f>IF(ISNA(VLOOKUP(テーブル1[[#This Row],[内容]],ポケモンマスタ!A:A,1,FALSE)),"error","ok")</f>
        <v>ok</v>
      </c>
    </row>
    <row r="10" spans="1:7">
      <c r="A10" s="3">
        <v>9</v>
      </c>
      <c r="B10" s="3" t="s">
        <v>37</v>
      </c>
      <c r="C10" s="3" t="s">
        <v>36</v>
      </c>
      <c r="D10" s="3" t="s">
        <v>402</v>
      </c>
      <c r="F10" s="3" t="str">
        <f>IF(ISNA(VLOOKUP(テーブル1[[#This Row],[内容]],ポケモンマスタ!A:A,1,FALSE)),"error","ok")</f>
        <v>ok</v>
      </c>
    </row>
    <row r="11" spans="1:7">
      <c r="A11" s="3">
        <v>10</v>
      </c>
      <c r="B11" s="3" t="s">
        <v>8</v>
      </c>
      <c r="C11" s="3" t="s">
        <v>10</v>
      </c>
      <c r="D11" s="3" t="s">
        <v>402</v>
      </c>
      <c r="F11" s="3" t="str">
        <f>IF(ISNA(VLOOKUP(テーブル1[[#This Row],[内容]],ポケモンマスタ!A:A,1,FALSE)),"error","ok")</f>
        <v>ok</v>
      </c>
    </row>
    <row r="12" spans="1:7">
      <c r="A12" s="3">
        <v>11</v>
      </c>
      <c r="B12" s="3" t="s">
        <v>42</v>
      </c>
      <c r="C12" s="3" t="s">
        <v>39</v>
      </c>
      <c r="D12" s="3" t="s">
        <v>402</v>
      </c>
      <c r="F12" s="3" t="str">
        <f>IF(ISNA(VLOOKUP(テーブル1[[#This Row],[内容]],ポケモンマスタ!A:A,1,FALSE)),"error","ok")</f>
        <v>ok</v>
      </c>
      <c r="G12" s="3" t="s">
        <v>42</v>
      </c>
    </row>
    <row r="13" spans="1:7">
      <c r="A13" s="3">
        <v>12</v>
      </c>
      <c r="B13" s="3" t="s">
        <v>42</v>
      </c>
      <c r="C13" s="3" t="s">
        <v>41</v>
      </c>
      <c r="D13" s="3" t="s">
        <v>402</v>
      </c>
      <c r="F13" s="3" t="str">
        <f>IF(ISNA(VLOOKUP(テーブル1[[#This Row],[内容]],ポケモンマスタ!A:A,1,FALSE)),"error","ok")</f>
        <v>ok</v>
      </c>
      <c r="G13" s="3" t="s">
        <v>42</v>
      </c>
    </row>
    <row r="14" spans="1:7">
      <c r="A14" s="3">
        <v>13</v>
      </c>
      <c r="B14" s="3" t="s">
        <v>43</v>
      </c>
      <c r="C14" s="3" t="s">
        <v>45</v>
      </c>
      <c r="D14" s="3" t="s">
        <v>402</v>
      </c>
      <c r="F14" s="3" t="str">
        <f>IF(ISNA(VLOOKUP(テーブル1[[#This Row],[内容]],ポケモンマスタ!A:A,1,FALSE)),"error","ok")</f>
        <v>ok</v>
      </c>
    </row>
    <row r="15" spans="1:7">
      <c r="A15" s="3">
        <v>14</v>
      </c>
      <c r="B15" s="3" t="s">
        <v>48</v>
      </c>
      <c r="C15" s="3" t="s">
        <v>47</v>
      </c>
      <c r="D15" s="3" t="s">
        <v>402</v>
      </c>
      <c r="F15" s="3" t="str">
        <f>IF(ISNA(VLOOKUP(テーブル1[[#This Row],[内容]],ポケモンマスタ!A:A,1,FALSE)),"error","ok")</f>
        <v>ok</v>
      </c>
    </row>
    <row r="16" spans="1:7">
      <c r="A16" s="3">
        <v>15</v>
      </c>
      <c r="B16" s="3" t="s">
        <v>49</v>
      </c>
      <c r="C16" s="3" t="s">
        <v>51</v>
      </c>
      <c r="D16" s="3" t="s">
        <v>402</v>
      </c>
      <c r="F16" s="3" t="str">
        <f>IF(ISNA(VLOOKUP(テーブル1[[#This Row],[内容]],ポケモンマスタ!A:A,1,FALSE)),"error","ok")</f>
        <v>ok</v>
      </c>
    </row>
    <row r="17" spans="1:7">
      <c r="A17" s="3">
        <v>16</v>
      </c>
      <c r="B17" s="3" t="s">
        <v>4</v>
      </c>
      <c r="C17" s="3" t="s">
        <v>6</v>
      </c>
      <c r="D17" s="3" t="s">
        <v>402</v>
      </c>
      <c r="F17" s="3" t="str">
        <f>IF(ISNA(VLOOKUP(テーブル1[[#This Row],[内容]],ポケモンマスタ!A:A,1,FALSE)),"error","ok")</f>
        <v>ok</v>
      </c>
    </row>
    <row r="18" spans="1:7">
      <c r="A18" s="3">
        <v>17</v>
      </c>
      <c r="B18" s="3" t="s">
        <v>52</v>
      </c>
      <c r="C18" s="3" t="s">
        <v>56</v>
      </c>
      <c r="D18" s="3" t="s">
        <v>402</v>
      </c>
      <c r="F18" s="3" t="str">
        <f>IF(ISNA(VLOOKUP(テーブル1[[#This Row],[内容]],ポケモンマスタ!A:A,1,FALSE)),"error","ok")</f>
        <v>ok</v>
      </c>
      <c r="G18" s="3" t="s">
        <v>52</v>
      </c>
    </row>
    <row r="19" spans="1:7">
      <c r="A19" s="3">
        <v>18</v>
      </c>
      <c r="B19" s="3" t="s">
        <v>52</v>
      </c>
      <c r="C19" s="3" t="s">
        <v>54</v>
      </c>
      <c r="D19" s="3" t="s">
        <v>402</v>
      </c>
      <c r="F19" s="3" t="str">
        <f>IF(ISNA(VLOOKUP(テーブル1[[#This Row],[内容]],ポケモンマスタ!A:A,1,FALSE)),"error","ok")</f>
        <v>ok</v>
      </c>
      <c r="G19" s="3" t="s">
        <v>52</v>
      </c>
    </row>
    <row r="20" spans="1:7">
      <c r="A20" s="3">
        <v>19</v>
      </c>
      <c r="B20" s="3" t="s">
        <v>57</v>
      </c>
      <c r="C20" s="3" t="s">
        <v>59</v>
      </c>
      <c r="D20" s="3" t="s">
        <v>402</v>
      </c>
      <c r="E20" s="3" t="s">
        <v>60</v>
      </c>
      <c r="F20" s="3" t="str">
        <f>IF(ISNA(VLOOKUP(テーブル1[[#This Row],[内容]],ポケモンマスタ!A:A,1,FALSE)),"error","ok")</f>
        <v>ok</v>
      </c>
    </row>
    <row r="21" spans="1:7">
      <c r="A21" s="3">
        <v>20</v>
      </c>
      <c r="B21" s="3" t="s">
        <v>62</v>
      </c>
      <c r="C21" s="3" t="s">
        <v>64</v>
      </c>
      <c r="D21" s="3" t="s">
        <v>402</v>
      </c>
      <c r="F21" s="3" t="str">
        <f>IF(ISNA(VLOOKUP(テーブル1[[#This Row],[内容]],ポケモンマスタ!A:A,1,FALSE)),"error","ok")</f>
        <v>ok</v>
      </c>
    </row>
    <row r="22" spans="1:7">
      <c r="A22" s="3">
        <v>21</v>
      </c>
      <c r="B22" s="3" t="s">
        <v>65</v>
      </c>
      <c r="C22" s="3" t="s">
        <v>67</v>
      </c>
      <c r="D22" s="3" t="s">
        <v>402</v>
      </c>
      <c r="E22" s="3" t="s">
        <v>72</v>
      </c>
      <c r="F22" s="3" t="str">
        <f>IF(ISNA(VLOOKUP(テーブル1[[#This Row],[内容]],ポケモンマスタ!A:A,1,FALSE)),"error","ok")</f>
        <v>ok</v>
      </c>
      <c r="G22" s="3" t="s">
        <v>65</v>
      </c>
    </row>
    <row r="23" spans="1:7">
      <c r="A23" s="3">
        <v>22</v>
      </c>
      <c r="B23" s="3" t="s">
        <v>65</v>
      </c>
      <c r="C23" s="3" t="s">
        <v>69</v>
      </c>
      <c r="D23" s="3" t="s">
        <v>402</v>
      </c>
      <c r="E23" s="3" t="s">
        <v>72</v>
      </c>
      <c r="F23" s="3" t="str">
        <f>IF(ISNA(VLOOKUP(テーブル1[[#This Row],[内容]],ポケモンマスタ!A:A,1,FALSE)),"error","ok")</f>
        <v>ok</v>
      </c>
      <c r="G23" s="3" t="s">
        <v>65</v>
      </c>
    </row>
    <row r="24" spans="1:7">
      <c r="A24" s="3">
        <v>23</v>
      </c>
      <c r="B24" s="3" t="s">
        <v>65</v>
      </c>
      <c r="C24" s="3" t="s">
        <v>71</v>
      </c>
      <c r="D24" s="3" t="s">
        <v>402</v>
      </c>
      <c r="E24" s="3" t="s">
        <v>72</v>
      </c>
      <c r="F24" s="3" t="str">
        <f>IF(ISNA(VLOOKUP(テーブル1[[#This Row],[内容]],ポケモンマスタ!A:A,1,FALSE)),"error","ok")</f>
        <v>ok</v>
      </c>
      <c r="G24" s="3" t="s">
        <v>65</v>
      </c>
    </row>
    <row r="25" spans="1:7">
      <c r="A25" s="3">
        <v>24</v>
      </c>
      <c r="B25" s="3" t="s">
        <v>73</v>
      </c>
      <c r="C25" s="3" t="s">
        <v>75</v>
      </c>
      <c r="D25" s="3" t="s">
        <v>402</v>
      </c>
      <c r="F25" s="3" t="str">
        <f>IF(ISNA(VLOOKUP(テーブル1[[#This Row],[内容]],ポケモンマスタ!A:A,1,FALSE)),"error","ok")</f>
        <v>ok</v>
      </c>
      <c r="G25" s="3" t="s">
        <v>73</v>
      </c>
    </row>
    <row r="26" spans="1:7">
      <c r="A26" s="3">
        <v>25</v>
      </c>
      <c r="B26" s="3" t="s">
        <v>73</v>
      </c>
      <c r="C26" s="3" t="s">
        <v>21</v>
      </c>
      <c r="D26" s="3" t="s">
        <v>402</v>
      </c>
      <c r="F26" s="3" t="str">
        <f>IF(ISNA(VLOOKUP(テーブル1[[#This Row],[内容]],ポケモンマスタ!A:A,1,FALSE)),"error","ok")</f>
        <v>ok</v>
      </c>
      <c r="G26" s="3" t="s">
        <v>73</v>
      </c>
    </row>
    <row r="27" spans="1:7">
      <c r="A27" s="3">
        <v>26</v>
      </c>
      <c r="B27" s="3" t="s">
        <v>73</v>
      </c>
      <c r="C27" s="3" t="s">
        <v>77</v>
      </c>
      <c r="D27" s="3" t="s">
        <v>402</v>
      </c>
      <c r="F27" s="3" t="str">
        <f>IF(ISNA(VLOOKUP(テーブル1[[#This Row],[内容]],ポケモンマスタ!A:A,1,FALSE)),"error","ok")</f>
        <v>ok</v>
      </c>
      <c r="G27" s="3" t="s">
        <v>73</v>
      </c>
    </row>
    <row r="28" spans="1:7">
      <c r="A28" s="3">
        <v>27</v>
      </c>
      <c r="B28" s="3" t="s">
        <v>73</v>
      </c>
      <c r="C28" s="3" t="s">
        <v>79</v>
      </c>
      <c r="D28" s="3" t="s">
        <v>402</v>
      </c>
      <c r="F28" s="3" t="str">
        <f>IF(ISNA(VLOOKUP(テーブル1[[#This Row],[内容]],ポケモンマスタ!A:A,1,FALSE)),"error","ok")</f>
        <v>ok</v>
      </c>
      <c r="G28" s="3" t="s">
        <v>73</v>
      </c>
    </row>
    <row r="29" spans="1:7">
      <c r="A29" s="3">
        <v>28</v>
      </c>
      <c r="B29" s="3" t="s">
        <v>73</v>
      </c>
      <c r="C29" s="3" t="s">
        <v>81</v>
      </c>
      <c r="D29" s="3" t="s">
        <v>402</v>
      </c>
      <c r="F29" s="3" t="str">
        <f>IF(ISNA(VLOOKUP(テーブル1[[#This Row],[内容]],ポケモンマスタ!A:A,1,FALSE)),"error","ok")</f>
        <v>ok</v>
      </c>
      <c r="G29" s="3" t="s">
        <v>73</v>
      </c>
    </row>
    <row r="30" spans="1:7">
      <c r="A30" s="3">
        <v>29</v>
      </c>
      <c r="B30" s="3" t="s">
        <v>73</v>
      </c>
      <c r="C30" s="3" t="s">
        <v>83</v>
      </c>
      <c r="D30" s="3" t="s">
        <v>402</v>
      </c>
      <c r="F30" s="3" t="str">
        <f>IF(ISNA(VLOOKUP(テーブル1[[#This Row],[内容]],ポケモンマスタ!A:A,1,FALSE)),"error","ok")</f>
        <v>ok</v>
      </c>
      <c r="G30" s="3" t="s">
        <v>73</v>
      </c>
    </row>
    <row r="31" spans="1:7">
      <c r="A31" s="3">
        <v>30</v>
      </c>
      <c r="B31" s="3" t="s">
        <v>86</v>
      </c>
      <c r="C31" s="3" t="s">
        <v>85</v>
      </c>
      <c r="D31" s="3" t="s">
        <v>402</v>
      </c>
      <c r="F31" s="3" t="str">
        <f>IF(ISNA(VLOOKUP(テーブル1[[#This Row],[内容]],ポケモンマスタ!A:A,1,FALSE)),"error","ok")</f>
        <v>ok</v>
      </c>
    </row>
    <row r="32" spans="1:7">
      <c r="A32" s="3">
        <v>31</v>
      </c>
      <c r="B32" s="3" t="s">
        <v>87</v>
      </c>
      <c r="C32" s="3" t="s">
        <v>16</v>
      </c>
      <c r="D32" s="3" t="s">
        <v>402</v>
      </c>
      <c r="F32" s="3" t="str">
        <f>IF(ISNA(VLOOKUP(テーブル1[[#This Row],[内容]],ポケモンマスタ!A:A,1,FALSE)),"error","ok")</f>
        <v>ok</v>
      </c>
      <c r="G32" s="3" t="s">
        <v>87</v>
      </c>
    </row>
    <row r="33" spans="1:7">
      <c r="A33" s="3">
        <v>32</v>
      </c>
      <c r="B33" s="3" t="s">
        <v>87</v>
      </c>
      <c r="C33" s="3" t="s">
        <v>77</v>
      </c>
      <c r="D33" s="3" t="s">
        <v>402</v>
      </c>
      <c r="F33" s="3" t="str">
        <f>IF(ISNA(VLOOKUP(テーブル1[[#This Row],[内容]],ポケモンマスタ!A:A,1,FALSE)),"error","ok")</f>
        <v>ok</v>
      </c>
      <c r="G33" s="3" t="s">
        <v>87</v>
      </c>
    </row>
    <row r="34" spans="1:7">
      <c r="A34" s="3">
        <v>33</v>
      </c>
      <c r="B34" s="3" t="s">
        <v>87</v>
      </c>
      <c r="C34" s="3" t="s">
        <v>81</v>
      </c>
      <c r="D34" s="3" t="s">
        <v>402</v>
      </c>
      <c r="F34" s="3" t="str">
        <f>IF(ISNA(VLOOKUP(テーブル1[[#This Row],[内容]],ポケモンマスタ!A:A,1,FALSE)),"error","ok")</f>
        <v>ok</v>
      </c>
      <c r="G34" s="3" t="s">
        <v>87</v>
      </c>
    </row>
    <row r="35" spans="1:7">
      <c r="A35" s="3">
        <v>34</v>
      </c>
      <c r="B35" s="3" t="s">
        <v>87</v>
      </c>
      <c r="C35" s="3" t="s">
        <v>89</v>
      </c>
      <c r="D35" s="3" t="s">
        <v>402</v>
      </c>
      <c r="F35" s="3" t="str">
        <f>IF(ISNA(VLOOKUP(テーブル1[[#This Row],[内容]],ポケモンマスタ!A:A,1,FALSE)),"error","ok")</f>
        <v>ok</v>
      </c>
      <c r="G35" s="3" t="s">
        <v>87</v>
      </c>
    </row>
    <row r="36" spans="1:7">
      <c r="A36" s="3">
        <v>35</v>
      </c>
      <c r="B36" s="3" t="s">
        <v>87</v>
      </c>
      <c r="C36" s="3" t="s">
        <v>91</v>
      </c>
      <c r="D36" s="3" t="s">
        <v>402</v>
      </c>
      <c r="F36" s="3" t="str">
        <f>IF(ISNA(VLOOKUP(テーブル1[[#This Row],[内容]],ポケモンマスタ!A:A,1,FALSE)),"error","ok")</f>
        <v>ok</v>
      </c>
      <c r="G36" s="3" t="s">
        <v>87</v>
      </c>
    </row>
    <row r="37" spans="1:7">
      <c r="A37" s="3">
        <v>36</v>
      </c>
      <c r="B37" s="3" t="s">
        <v>87</v>
      </c>
      <c r="C37" s="3" t="s">
        <v>93</v>
      </c>
      <c r="D37" s="3" t="s">
        <v>402</v>
      </c>
      <c r="F37" s="3" t="str">
        <f>IF(ISNA(VLOOKUP(テーブル1[[#This Row],[内容]],ポケモンマスタ!A:A,1,FALSE)),"error","ok")</f>
        <v>ok</v>
      </c>
      <c r="G37" s="3" t="s">
        <v>87</v>
      </c>
    </row>
    <row r="38" spans="1:7">
      <c r="A38" s="3">
        <v>37</v>
      </c>
      <c r="B38" s="3" t="s">
        <v>94</v>
      </c>
      <c r="C38" s="3" t="s">
        <v>6</v>
      </c>
      <c r="D38" s="3" t="s">
        <v>402</v>
      </c>
      <c r="F38" s="3" t="str">
        <f>IF(ISNA(VLOOKUP(テーブル1[[#This Row],[内容]],ポケモンマスタ!A:A,1,FALSE)),"error","ok")</f>
        <v>ok</v>
      </c>
    </row>
    <row r="39" spans="1:7">
      <c r="A39" s="3">
        <v>38</v>
      </c>
      <c r="B39" s="3" t="s">
        <v>97</v>
      </c>
      <c r="C39" s="3" t="s">
        <v>96</v>
      </c>
      <c r="D39" s="3" t="s">
        <v>402</v>
      </c>
      <c r="F39" s="3" t="str">
        <f>IF(ISNA(VLOOKUP(テーブル1[[#This Row],[内容]],ポケモンマスタ!A:A,1,FALSE)),"error","ok")</f>
        <v>ok</v>
      </c>
    </row>
    <row r="40" spans="1:7">
      <c r="A40" s="3">
        <v>39</v>
      </c>
      <c r="B40" s="3" t="s">
        <v>98</v>
      </c>
      <c r="C40" s="3" t="s">
        <v>103</v>
      </c>
      <c r="D40" s="3" t="s">
        <v>402</v>
      </c>
      <c r="F40" s="3" t="str">
        <f>IF(ISNA(VLOOKUP(テーブル1[[#This Row],[内容]],ポケモンマスタ!A:A,1,FALSE)),"error","ok")</f>
        <v>ok</v>
      </c>
      <c r="G40" s="3" t="s">
        <v>98</v>
      </c>
    </row>
    <row r="41" spans="1:7">
      <c r="A41" s="3">
        <v>40</v>
      </c>
      <c r="B41" s="3" t="s">
        <v>98</v>
      </c>
      <c r="C41" s="3" t="s">
        <v>100</v>
      </c>
      <c r="D41" s="3" t="s">
        <v>402</v>
      </c>
      <c r="F41" s="3" t="str">
        <f>IF(ISNA(VLOOKUP(テーブル1[[#This Row],[内容]],ポケモンマスタ!A:A,1,FALSE)),"error","ok")</f>
        <v>ok</v>
      </c>
      <c r="G41" s="3" t="s">
        <v>98</v>
      </c>
    </row>
    <row r="42" spans="1:7">
      <c r="A42" s="3">
        <v>41</v>
      </c>
      <c r="B42" s="3" t="s">
        <v>98</v>
      </c>
      <c r="C42" s="3" t="s">
        <v>105</v>
      </c>
      <c r="D42" s="3" t="s">
        <v>402</v>
      </c>
      <c r="E42" s="3" t="s">
        <v>101</v>
      </c>
      <c r="F42" s="3" t="str">
        <f>IF(ISNA(VLOOKUP(テーブル1[[#This Row],[内容]],ポケモンマスタ!A:A,1,FALSE)),"error","ok")</f>
        <v>ok</v>
      </c>
      <c r="G42" s="3" t="s">
        <v>98</v>
      </c>
    </row>
    <row r="43" spans="1:7">
      <c r="A43" s="3">
        <v>42</v>
      </c>
      <c r="B43" s="3" t="s">
        <v>108</v>
      </c>
      <c r="C43" s="3" t="s">
        <v>107</v>
      </c>
      <c r="D43" s="3" t="s">
        <v>402</v>
      </c>
      <c r="F43" s="3" t="str">
        <f>IF(ISNA(VLOOKUP(テーブル1[[#This Row],[内容]],ポケモンマスタ!A:A,1,FALSE)),"error","ok")</f>
        <v>ok</v>
      </c>
    </row>
    <row r="44" spans="1:7">
      <c r="A44" s="3">
        <v>43</v>
      </c>
      <c r="B44" s="3" t="s">
        <v>109</v>
      </c>
      <c r="C44" s="3" t="s">
        <v>111</v>
      </c>
      <c r="D44" s="3" t="s">
        <v>402</v>
      </c>
      <c r="F44" s="3" t="str">
        <f>IF(ISNA(VLOOKUP(テーブル1[[#This Row],[内容]],ポケモンマスタ!A:A,1,FALSE)),"error","ok")</f>
        <v>ok</v>
      </c>
    </row>
    <row r="45" spans="1:7">
      <c r="A45" s="3">
        <v>44</v>
      </c>
      <c r="B45" s="3" t="s">
        <v>113</v>
      </c>
      <c r="D45" s="3" t="s">
        <v>402</v>
      </c>
      <c r="E45" s="3" t="s">
        <v>112</v>
      </c>
      <c r="F45" s="3" t="str">
        <f>IF(ISNA(VLOOKUP(テーブル1[[#This Row],[内容]],ポケモンマスタ!A:A,1,FALSE)),"error","ok")</f>
        <v>error</v>
      </c>
    </row>
    <row r="46" spans="1:7">
      <c r="A46" s="3">
        <v>45</v>
      </c>
      <c r="B46" s="3" t="s">
        <v>114</v>
      </c>
      <c r="C46" s="3" t="s">
        <v>116</v>
      </c>
      <c r="D46" s="3" t="s">
        <v>402</v>
      </c>
      <c r="F46" s="3" t="str">
        <f>IF(ISNA(VLOOKUP(テーブル1[[#This Row],[内容]],ポケモンマスタ!A:A,1,FALSE)),"error","ok")</f>
        <v>ok</v>
      </c>
      <c r="G46" s="3" t="s">
        <v>114</v>
      </c>
    </row>
    <row r="47" spans="1:7">
      <c r="A47" s="3">
        <v>46</v>
      </c>
      <c r="B47" s="3" t="s">
        <v>114</v>
      </c>
      <c r="C47" s="3" t="s">
        <v>10</v>
      </c>
      <c r="D47" s="3" t="s">
        <v>402</v>
      </c>
      <c r="F47" s="3" t="str">
        <f>IF(ISNA(VLOOKUP(テーブル1[[#This Row],[内容]],ポケモンマスタ!A:A,1,FALSE)),"error","ok")</f>
        <v>ok</v>
      </c>
      <c r="G47" s="3" t="s">
        <v>114</v>
      </c>
    </row>
    <row r="48" spans="1:7">
      <c r="A48" s="3">
        <v>47</v>
      </c>
      <c r="B48" s="3" t="s">
        <v>114</v>
      </c>
      <c r="C48" s="3" t="s">
        <v>118</v>
      </c>
      <c r="D48" s="3" t="s">
        <v>402</v>
      </c>
      <c r="F48" s="3" t="str">
        <f>IF(ISNA(VLOOKUP(テーブル1[[#This Row],[内容]],ポケモンマスタ!A:A,1,FALSE)),"error","ok")</f>
        <v>ok</v>
      </c>
      <c r="G48" s="3" t="s">
        <v>114</v>
      </c>
    </row>
    <row r="49" spans="1:7">
      <c r="A49" s="3">
        <v>48</v>
      </c>
      <c r="B49" s="3" t="s">
        <v>114</v>
      </c>
      <c r="C49" s="3" t="s">
        <v>39</v>
      </c>
      <c r="D49" s="3" t="s">
        <v>402</v>
      </c>
      <c r="F49" s="3" t="str">
        <f>IF(ISNA(VLOOKUP(テーブル1[[#This Row],[内容]],ポケモンマスタ!A:A,1,FALSE)),"error","ok")</f>
        <v>ok</v>
      </c>
      <c r="G49" s="3" t="s">
        <v>114</v>
      </c>
    </row>
    <row r="50" spans="1:7">
      <c r="A50" s="3">
        <v>49</v>
      </c>
      <c r="B50" s="3" t="s">
        <v>114</v>
      </c>
      <c r="C50" s="3" t="s">
        <v>120</v>
      </c>
      <c r="D50" s="3" t="s">
        <v>402</v>
      </c>
      <c r="F50" s="3" t="str">
        <f>IF(ISNA(VLOOKUP(テーブル1[[#This Row],[内容]],ポケモンマスタ!A:A,1,FALSE)),"error","ok")</f>
        <v>ok</v>
      </c>
      <c r="G50" s="3" t="s">
        <v>114</v>
      </c>
    </row>
    <row r="51" spans="1:7">
      <c r="A51" s="3">
        <v>50</v>
      </c>
      <c r="B51" s="3" t="s">
        <v>114</v>
      </c>
      <c r="C51" s="3" t="s">
        <v>122</v>
      </c>
      <c r="D51" s="3" t="s">
        <v>402</v>
      </c>
      <c r="F51" s="3" t="str">
        <f>IF(ISNA(VLOOKUP(テーブル1[[#This Row],[内容]],ポケモンマスタ!A:A,1,FALSE)),"error","ok")</f>
        <v>ok</v>
      </c>
      <c r="G51" s="3" t="s">
        <v>114</v>
      </c>
    </row>
    <row r="52" spans="1:7">
      <c r="A52" s="3">
        <v>51</v>
      </c>
      <c r="B52" s="3" t="s">
        <v>123</v>
      </c>
      <c r="C52" s="3" t="s">
        <v>29</v>
      </c>
      <c r="D52" s="3" t="s">
        <v>402</v>
      </c>
      <c r="F52" s="3" t="str">
        <f>IF(ISNA(VLOOKUP(テーブル1[[#This Row],[内容]],ポケモンマスタ!A:A,1,FALSE)),"error","ok")</f>
        <v>ok</v>
      </c>
    </row>
    <row r="53" spans="1:7">
      <c r="A53" s="3">
        <v>52</v>
      </c>
      <c r="B53" s="3" t="s">
        <v>124</v>
      </c>
      <c r="C53" s="3" t="s">
        <v>126</v>
      </c>
      <c r="D53" s="3" t="s">
        <v>402</v>
      </c>
      <c r="F53" s="3" t="str">
        <f>IF(ISNA(VLOOKUP(テーブル1[[#This Row],[内容]],ポケモンマスタ!A:A,1,FALSE)),"error","ok")</f>
        <v>ok</v>
      </c>
    </row>
    <row r="54" spans="1:7">
      <c r="A54" s="3">
        <v>53</v>
      </c>
      <c r="B54" s="3" t="s">
        <v>129</v>
      </c>
      <c r="C54" s="3" t="s">
        <v>128</v>
      </c>
      <c r="D54" s="3" t="s">
        <v>402</v>
      </c>
      <c r="F54" s="3" t="str">
        <f>IF(ISNA(VLOOKUP(テーブル1[[#This Row],[内容]],ポケモンマスタ!A:A,1,FALSE)),"error","ok")</f>
        <v>ok</v>
      </c>
    </row>
    <row r="55" spans="1:7">
      <c r="A55" s="3">
        <v>54</v>
      </c>
      <c r="B55" s="3" t="s">
        <v>130</v>
      </c>
      <c r="C55" s="3" t="s">
        <v>132</v>
      </c>
      <c r="D55" s="3" t="s">
        <v>402</v>
      </c>
      <c r="F55" s="3" t="str">
        <f>IF(ISNA(VLOOKUP(テーブル1[[#This Row],[内容]],ポケモンマスタ!A:A,1,FALSE)),"error","ok")</f>
        <v>ok</v>
      </c>
    </row>
    <row r="56" spans="1:7">
      <c r="A56" s="3">
        <v>55</v>
      </c>
      <c r="B56" s="3" t="s">
        <v>141</v>
      </c>
      <c r="C56" s="3" t="s">
        <v>134</v>
      </c>
      <c r="D56" s="3" t="s">
        <v>402</v>
      </c>
      <c r="F56" s="3" t="str">
        <f>IF(ISNA(VLOOKUP(テーブル1[[#This Row],[内容]],ポケモンマスタ!A:A,1,FALSE)),"error","ok")</f>
        <v>ok</v>
      </c>
      <c r="G56" s="3" t="s">
        <v>141</v>
      </c>
    </row>
    <row r="57" spans="1:7">
      <c r="A57" s="3">
        <v>56</v>
      </c>
      <c r="B57" s="3" t="s">
        <v>141</v>
      </c>
      <c r="C57" s="3" t="s">
        <v>136</v>
      </c>
      <c r="D57" s="3" t="s">
        <v>402</v>
      </c>
      <c r="F57" s="3" t="str">
        <f>IF(ISNA(VLOOKUP(テーブル1[[#This Row],[内容]],ポケモンマスタ!A:A,1,FALSE)),"error","ok")</f>
        <v>ok</v>
      </c>
      <c r="G57" s="3" t="s">
        <v>141</v>
      </c>
    </row>
    <row r="58" spans="1:7">
      <c r="A58" s="3">
        <v>57</v>
      </c>
      <c r="B58" s="3" t="s">
        <v>141</v>
      </c>
      <c r="C58" s="3" t="s">
        <v>132</v>
      </c>
      <c r="D58" s="3" t="s">
        <v>402</v>
      </c>
      <c r="F58" s="3" t="str">
        <f>IF(ISNA(VLOOKUP(テーブル1[[#This Row],[内容]],ポケモンマスタ!A:A,1,FALSE)),"error","ok")</f>
        <v>ok</v>
      </c>
      <c r="G58" s="3" t="s">
        <v>141</v>
      </c>
    </row>
    <row r="59" spans="1:7">
      <c r="A59" s="3">
        <v>58</v>
      </c>
      <c r="B59" s="3" t="s">
        <v>141</v>
      </c>
      <c r="C59" s="3" t="s">
        <v>39</v>
      </c>
      <c r="D59" s="3" t="s">
        <v>402</v>
      </c>
      <c r="F59" s="3" t="str">
        <f>IF(ISNA(VLOOKUP(テーブル1[[#This Row],[内容]],ポケモンマスタ!A:A,1,FALSE)),"error","ok")</f>
        <v>ok</v>
      </c>
      <c r="G59" s="3" t="s">
        <v>141</v>
      </c>
    </row>
    <row r="60" spans="1:7">
      <c r="A60" s="3">
        <v>59</v>
      </c>
      <c r="B60" s="3" t="s">
        <v>141</v>
      </c>
      <c r="C60" s="3" t="s">
        <v>138</v>
      </c>
      <c r="D60" s="3" t="s">
        <v>402</v>
      </c>
      <c r="F60" s="3" t="str">
        <f>IF(ISNA(VLOOKUP(テーブル1[[#This Row],[内容]],ポケモンマスタ!A:A,1,FALSE)),"error","ok")</f>
        <v>ok</v>
      </c>
      <c r="G60" s="3" t="s">
        <v>141</v>
      </c>
    </row>
    <row r="61" spans="1:7">
      <c r="A61" s="3">
        <v>60</v>
      </c>
      <c r="B61" s="3" t="s">
        <v>141</v>
      </c>
      <c r="C61" s="3" t="s">
        <v>140</v>
      </c>
      <c r="D61" s="3" t="s">
        <v>402</v>
      </c>
      <c r="F61" s="3" t="str">
        <f>IF(ISNA(VLOOKUP(テーブル1[[#This Row],[内容]],ポケモンマスタ!A:A,1,FALSE)),"error","ok")</f>
        <v>ok</v>
      </c>
      <c r="G61" s="3" t="s">
        <v>141</v>
      </c>
    </row>
    <row r="62" spans="1:7">
      <c r="A62" s="3">
        <v>61</v>
      </c>
      <c r="B62" s="3" t="s">
        <v>143</v>
      </c>
      <c r="C62" s="3" t="s">
        <v>118</v>
      </c>
      <c r="D62" s="3" t="s">
        <v>402</v>
      </c>
      <c r="E62" s="3" t="s">
        <v>142</v>
      </c>
      <c r="F62" s="3" t="str">
        <f>IF(ISNA(VLOOKUP(テーブル1[[#This Row],[内容]],ポケモンマスタ!A:A,1,FALSE)),"error","ok")</f>
        <v>ok</v>
      </c>
    </row>
    <row r="63" spans="1:7">
      <c r="A63" s="3">
        <v>62</v>
      </c>
      <c r="B63" s="3" t="s">
        <v>144</v>
      </c>
      <c r="C63" s="3" t="s">
        <v>10</v>
      </c>
      <c r="D63" s="3" t="s">
        <v>402</v>
      </c>
      <c r="F63" s="3" t="str">
        <f>IF(ISNA(VLOOKUP(テーブル1[[#This Row],[内容]],ポケモンマスタ!A:A,1,FALSE)),"error","ok")</f>
        <v>ok</v>
      </c>
    </row>
    <row r="64" spans="1:7">
      <c r="A64" s="3">
        <v>63</v>
      </c>
      <c r="B64" s="3" t="s">
        <v>147</v>
      </c>
      <c r="C64" s="3" t="s">
        <v>146</v>
      </c>
      <c r="D64" s="3" t="s">
        <v>402</v>
      </c>
      <c r="F64" s="3" t="str">
        <f>IF(ISNA(VLOOKUP(テーブル1[[#This Row],[内容]],ポケモンマスタ!A:A,1,FALSE)),"error","ok")</f>
        <v>ok</v>
      </c>
    </row>
    <row r="65" spans="1:7">
      <c r="A65" s="3">
        <v>64</v>
      </c>
      <c r="B65" s="3" t="s">
        <v>153</v>
      </c>
      <c r="C65" s="3" t="s">
        <v>149</v>
      </c>
      <c r="D65" s="3" t="s">
        <v>402</v>
      </c>
      <c r="F65" s="3" t="str">
        <f>IF(ISNA(VLOOKUP(テーブル1[[#This Row],[内容]],ポケモンマスタ!A:A,1,FALSE)),"error","ok")</f>
        <v>ok</v>
      </c>
    </row>
    <row r="66" spans="1:7">
      <c r="A66" s="3">
        <v>65</v>
      </c>
      <c r="B66" s="3" t="s">
        <v>152</v>
      </c>
      <c r="C66" s="3" t="s">
        <v>151</v>
      </c>
      <c r="D66" s="3" t="s">
        <v>402</v>
      </c>
      <c r="F66" s="3" t="str">
        <f>IF(ISNA(VLOOKUP(テーブル1[[#This Row],[内容]],ポケモンマスタ!A:A,1,FALSE)),"error","ok")</f>
        <v>ok</v>
      </c>
    </row>
    <row r="67" spans="1:7">
      <c r="A67" s="3">
        <v>66</v>
      </c>
      <c r="B67" s="3" t="s">
        <v>154</v>
      </c>
      <c r="C67" s="3" t="s">
        <v>156</v>
      </c>
      <c r="D67" s="3" t="s">
        <v>402</v>
      </c>
      <c r="E67" s="3" t="s">
        <v>157</v>
      </c>
      <c r="F67" s="3" t="str">
        <f>IF(ISNA(VLOOKUP(テーブル1[[#This Row],[内容]],ポケモンマスタ!A:A,1,FALSE)),"error","ok")</f>
        <v>ok</v>
      </c>
    </row>
    <row r="68" spans="1:7">
      <c r="A68" s="3">
        <v>67</v>
      </c>
      <c r="B68" s="3" t="s">
        <v>160</v>
      </c>
      <c r="C68" s="3" t="s">
        <v>159</v>
      </c>
      <c r="D68" s="3" t="s">
        <v>402</v>
      </c>
      <c r="F68" s="3" t="str">
        <f>IF(ISNA(VLOOKUP(テーブル1[[#This Row],[内容]],ポケモンマスタ!A:A,1,FALSE)),"error","ok")</f>
        <v>ok</v>
      </c>
    </row>
    <row r="69" spans="1:7">
      <c r="A69" s="3">
        <v>68</v>
      </c>
      <c r="B69" s="3" t="s">
        <v>161</v>
      </c>
      <c r="C69" s="3" t="s">
        <v>163</v>
      </c>
      <c r="D69" s="3" t="s">
        <v>402</v>
      </c>
      <c r="F69" s="3" t="str">
        <f>IF(ISNA(VLOOKUP(テーブル1[[#This Row],[内容]],ポケモンマスタ!A:A,1,FALSE)),"error","ok")</f>
        <v>ok</v>
      </c>
    </row>
    <row r="70" spans="1:7">
      <c r="A70" s="3">
        <v>69</v>
      </c>
      <c r="B70" s="3" t="s">
        <v>166</v>
      </c>
      <c r="C70" s="3" t="s">
        <v>165</v>
      </c>
      <c r="D70" s="3" t="s">
        <v>402</v>
      </c>
      <c r="F70" s="3" t="str">
        <f>IF(ISNA(VLOOKUP(テーブル1[[#This Row],[内容]],ポケモンマスタ!A:A,1,FALSE)),"error","ok")</f>
        <v>ok</v>
      </c>
    </row>
    <row r="71" spans="1:7">
      <c r="A71" s="3">
        <v>70</v>
      </c>
      <c r="B71" s="3" t="s">
        <v>167</v>
      </c>
      <c r="C71" s="3" t="s">
        <v>85</v>
      </c>
      <c r="D71" s="3" t="s">
        <v>402</v>
      </c>
      <c r="F71" s="3" t="str">
        <f>IF(ISNA(VLOOKUP(テーブル1[[#This Row],[内容]],ポケモンマスタ!A:A,1,FALSE)),"error","ok")</f>
        <v>ok</v>
      </c>
    </row>
    <row r="72" spans="1:7">
      <c r="A72" s="3">
        <v>71</v>
      </c>
      <c r="B72" s="3" t="s">
        <v>168</v>
      </c>
      <c r="C72" s="3" t="s">
        <v>116</v>
      </c>
      <c r="D72" s="3" t="s">
        <v>402</v>
      </c>
      <c r="F72" s="3" t="str">
        <f>IF(ISNA(VLOOKUP(テーブル1[[#This Row],[内容]],ポケモンマスタ!A:A,1,FALSE)),"error","ok")</f>
        <v>ok</v>
      </c>
    </row>
    <row r="73" spans="1:7">
      <c r="A73" s="3">
        <v>72</v>
      </c>
      <c r="B73" s="3" t="s">
        <v>169</v>
      </c>
      <c r="C73" s="3" t="s">
        <v>171</v>
      </c>
      <c r="D73" s="3" t="s">
        <v>402</v>
      </c>
      <c r="F73" s="3" t="str">
        <f>IF(ISNA(VLOOKUP(テーブル1[[#This Row],[内容]],ポケモンマスタ!A:A,1,FALSE)),"error","ok")</f>
        <v>ok</v>
      </c>
      <c r="G73" s="3" t="s">
        <v>169</v>
      </c>
    </row>
    <row r="74" spans="1:7">
      <c r="A74" s="3">
        <v>73</v>
      </c>
      <c r="B74" s="3" t="s">
        <v>169</v>
      </c>
      <c r="C74" s="3" t="s">
        <v>96</v>
      </c>
      <c r="D74" s="3" t="s">
        <v>402</v>
      </c>
      <c r="F74" s="3" t="str">
        <f>IF(ISNA(VLOOKUP(テーブル1[[#This Row],[内容]],ポケモンマスタ!A:A,1,FALSE)),"error","ok")</f>
        <v>ok</v>
      </c>
      <c r="G74" s="3" t="s">
        <v>169</v>
      </c>
    </row>
    <row r="75" spans="1:7">
      <c r="A75" s="3">
        <v>74</v>
      </c>
      <c r="B75" s="3" t="s">
        <v>169</v>
      </c>
      <c r="C75" s="3" t="s">
        <v>173</v>
      </c>
      <c r="D75" s="3" t="s">
        <v>402</v>
      </c>
      <c r="F75" s="3" t="str">
        <f>IF(ISNA(VLOOKUP(テーブル1[[#This Row],[内容]],ポケモンマスタ!A:A,1,FALSE)),"error","ok")</f>
        <v>ok</v>
      </c>
      <c r="G75" s="3" t="s">
        <v>169</v>
      </c>
    </row>
    <row r="76" spans="1:7">
      <c r="A76" s="3">
        <v>75</v>
      </c>
      <c r="B76" s="3" t="s">
        <v>169</v>
      </c>
      <c r="C76" s="3" t="s">
        <v>175</v>
      </c>
      <c r="D76" s="3" t="s">
        <v>402</v>
      </c>
      <c r="F76" s="3" t="str">
        <f>IF(ISNA(VLOOKUP(テーブル1[[#This Row],[内容]],ポケモンマスタ!A:A,1,FALSE)),"error","ok")</f>
        <v>ok</v>
      </c>
      <c r="G76" s="3" t="s">
        <v>169</v>
      </c>
    </row>
    <row r="77" spans="1:7">
      <c r="A77" s="3">
        <v>76</v>
      </c>
      <c r="B77" s="3" t="s">
        <v>169</v>
      </c>
      <c r="C77" s="3" t="s">
        <v>177</v>
      </c>
      <c r="D77" s="3" t="s">
        <v>402</v>
      </c>
      <c r="F77" s="3" t="str">
        <f>IF(ISNA(VLOOKUP(テーブル1[[#This Row],[内容]],ポケモンマスタ!A:A,1,FALSE)),"error","ok")</f>
        <v>ok</v>
      </c>
      <c r="G77" s="3" t="s">
        <v>169</v>
      </c>
    </row>
    <row r="78" spans="1:7">
      <c r="A78" s="3">
        <v>77</v>
      </c>
      <c r="B78" s="3" t="s">
        <v>180</v>
      </c>
      <c r="C78" s="3" t="s">
        <v>179</v>
      </c>
      <c r="D78" s="3" t="s">
        <v>402</v>
      </c>
      <c r="F78" s="3" t="str">
        <f>IF(ISNA(VLOOKUP(テーブル1[[#This Row],[内容]],ポケモンマスタ!A:A,1,FALSE)),"error","ok")</f>
        <v>ok</v>
      </c>
    </row>
    <row r="79" spans="1:7">
      <c r="A79" s="3">
        <v>78</v>
      </c>
      <c r="B79" s="3" t="s">
        <v>181</v>
      </c>
      <c r="C79" s="3" t="s">
        <v>183</v>
      </c>
      <c r="D79" s="3" t="s">
        <v>402</v>
      </c>
      <c r="F79" s="3" t="str">
        <f>IF(ISNA(VLOOKUP(テーブル1[[#This Row],[内容]],ポケモンマスタ!A:A,1,FALSE)),"error","ok")</f>
        <v>ok</v>
      </c>
      <c r="G79" s="3" t="s">
        <v>181</v>
      </c>
    </row>
    <row r="80" spans="1:7">
      <c r="A80" s="3">
        <v>79</v>
      </c>
      <c r="B80" s="3" t="s">
        <v>181</v>
      </c>
      <c r="C80" s="3" t="s">
        <v>179</v>
      </c>
      <c r="D80" s="3" t="s">
        <v>402</v>
      </c>
      <c r="F80" s="3" t="str">
        <f>IF(ISNA(VLOOKUP(テーブル1[[#This Row],[内容]],ポケモンマスタ!A:A,1,FALSE)),"error","ok")</f>
        <v>ok</v>
      </c>
      <c r="G80" s="3" t="s">
        <v>181</v>
      </c>
    </row>
    <row r="81" spans="1:7">
      <c r="A81" s="3">
        <v>80</v>
      </c>
      <c r="B81" s="3" t="s">
        <v>184</v>
      </c>
      <c r="C81" s="3" t="s">
        <v>186</v>
      </c>
      <c r="D81" s="3" t="s">
        <v>402</v>
      </c>
      <c r="E81" s="3" t="s">
        <v>189</v>
      </c>
      <c r="F81" s="3" t="str">
        <f>IF(ISNA(VLOOKUP(テーブル1[[#This Row],[内容]],ポケモンマスタ!A:A,1,FALSE)),"error","ok")</f>
        <v>ok</v>
      </c>
      <c r="G81" s="3" t="s">
        <v>184</v>
      </c>
    </row>
    <row r="82" spans="1:7">
      <c r="A82" s="3">
        <v>81</v>
      </c>
      <c r="B82" s="3" t="s">
        <v>184</v>
      </c>
      <c r="C82" s="3" t="s">
        <v>188</v>
      </c>
      <c r="D82" s="3" t="s">
        <v>402</v>
      </c>
      <c r="E82" s="3" t="s">
        <v>189</v>
      </c>
      <c r="F82" s="3" t="str">
        <f>IF(ISNA(VLOOKUP(テーブル1[[#This Row],[内容]],ポケモンマスタ!A:A,1,FALSE)),"error","ok")</f>
        <v>ok</v>
      </c>
      <c r="G82" s="3" t="s">
        <v>184</v>
      </c>
    </row>
    <row r="83" spans="1:7">
      <c r="A83" s="3">
        <v>82</v>
      </c>
      <c r="B83" s="3" t="s">
        <v>184</v>
      </c>
      <c r="C83" s="3" t="s">
        <v>10</v>
      </c>
      <c r="D83" s="3" t="s">
        <v>402</v>
      </c>
      <c r="E83" s="3" t="s">
        <v>189</v>
      </c>
      <c r="F83" s="3" t="str">
        <f>IF(ISNA(VLOOKUP(テーブル1[[#This Row],[内容]],ポケモンマスタ!A:A,1,FALSE)),"error","ok")</f>
        <v>ok</v>
      </c>
      <c r="G83" s="3" t="s">
        <v>184</v>
      </c>
    </row>
    <row r="84" spans="1:7">
      <c r="A84" s="3">
        <v>83</v>
      </c>
      <c r="B84" s="3" t="s">
        <v>190</v>
      </c>
      <c r="C84" s="3" t="s">
        <v>163</v>
      </c>
      <c r="D84" s="3" t="s">
        <v>402</v>
      </c>
      <c r="F84" s="3" t="str">
        <f>IF(ISNA(VLOOKUP(テーブル1[[#This Row],[内容]],ポケモンマスタ!A:A,1,FALSE)),"error","ok")</f>
        <v>ok</v>
      </c>
      <c r="G84" s="3" t="s">
        <v>190</v>
      </c>
    </row>
    <row r="85" spans="1:7">
      <c r="A85" s="3">
        <v>84</v>
      </c>
      <c r="B85" s="3" t="s">
        <v>190</v>
      </c>
      <c r="C85" s="3" t="s">
        <v>192</v>
      </c>
      <c r="D85" s="3" t="s">
        <v>402</v>
      </c>
      <c r="F85" s="3" t="str">
        <f>IF(ISNA(VLOOKUP(テーブル1[[#This Row],[内容]],ポケモンマスタ!A:A,1,FALSE)),"error","ok")</f>
        <v>ok</v>
      </c>
      <c r="G85" s="3" t="s">
        <v>190</v>
      </c>
    </row>
    <row r="86" spans="1:7">
      <c r="A86" s="3">
        <v>85</v>
      </c>
      <c r="B86" s="3" t="s">
        <v>190</v>
      </c>
      <c r="C86" s="3" t="s">
        <v>194</v>
      </c>
      <c r="D86" s="3" t="s">
        <v>402</v>
      </c>
      <c r="F86" s="3" t="str">
        <f>IF(ISNA(VLOOKUP(テーブル1[[#This Row],[内容]],ポケモンマスタ!A:A,1,FALSE)),"error","ok")</f>
        <v>ok</v>
      </c>
      <c r="G86" s="3" t="s">
        <v>190</v>
      </c>
    </row>
    <row r="87" spans="1:7">
      <c r="A87" s="3">
        <v>86</v>
      </c>
      <c r="B87" s="3" t="s">
        <v>190</v>
      </c>
      <c r="C87" s="3" t="s">
        <v>196</v>
      </c>
      <c r="D87" s="3" t="s">
        <v>402</v>
      </c>
      <c r="F87" s="3" t="str">
        <f>IF(ISNA(VLOOKUP(テーブル1[[#This Row],[内容]],ポケモンマスタ!A:A,1,FALSE)),"error","ok")</f>
        <v>ok</v>
      </c>
      <c r="G87" s="3" t="s">
        <v>190</v>
      </c>
    </row>
    <row r="88" spans="1:7">
      <c r="A88" s="3">
        <v>87</v>
      </c>
      <c r="B88" s="3" t="s">
        <v>190</v>
      </c>
      <c r="C88" s="3" t="s">
        <v>198</v>
      </c>
      <c r="D88" s="3" t="s">
        <v>402</v>
      </c>
      <c r="F88" s="3" t="str">
        <f>IF(ISNA(VLOOKUP(テーブル1[[#This Row],[内容]],ポケモンマスタ!A:A,1,FALSE)),"error","ok")</f>
        <v>ok</v>
      </c>
      <c r="G88" s="3" t="s">
        <v>190</v>
      </c>
    </row>
    <row r="89" spans="1:7">
      <c r="A89" s="3">
        <v>88</v>
      </c>
      <c r="B89" s="3" t="s">
        <v>190</v>
      </c>
      <c r="C89" s="3" t="s">
        <v>200</v>
      </c>
      <c r="D89" s="3" t="s">
        <v>402</v>
      </c>
      <c r="F89" s="3" t="str">
        <f>IF(ISNA(VLOOKUP(テーブル1[[#This Row],[内容]],ポケモンマスタ!A:A,1,FALSE)),"error","ok")</f>
        <v>ok</v>
      </c>
      <c r="G89" s="3" t="s">
        <v>190</v>
      </c>
    </row>
    <row r="90" spans="1:7">
      <c r="A90" s="3">
        <v>89</v>
      </c>
      <c r="B90" s="3" t="s">
        <v>202</v>
      </c>
      <c r="C90" s="3" t="s">
        <v>188</v>
      </c>
      <c r="D90" s="3" t="s">
        <v>402</v>
      </c>
      <c r="E90" s="3" t="s">
        <v>201</v>
      </c>
      <c r="F90" s="3" t="str">
        <f>IF(ISNA(VLOOKUP(テーブル1[[#This Row],[内容]],ポケモンマスタ!A:A,1,FALSE)),"error","ok")</f>
        <v>ok</v>
      </c>
    </row>
    <row r="91" spans="1:7">
      <c r="A91" s="3">
        <v>90</v>
      </c>
      <c r="B91" s="3" t="s">
        <v>203</v>
      </c>
      <c r="C91" s="3" t="s">
        <v>116</v>
      </c>
      <c r="D91" s="3" t="s">
        <v>402</v>
      </c>
      <c r="F91" s="3" t="str">
        <f>IF(ISNA(VLOOKUP(テーブル1[[#This Row],[内容]],ポケモンマスタ!A:A,1,FALSE)),"error","ok")</f>
        <v>ok</v>
      </c>
    </row>
    <row r="92" spans="1:7">
      <c r="A92" s="3">
        <v>91</v>
      </c>
      <c r="B92" s="3" t="s">
        <v>208</v>
      </c>
      <c r="C92" s="3" t="s">
        <v>205</v>
      </c>
      <c r="D92" s="3" t="s">
        <v>402</v>
      </c>
      <c r="F92" s="3" t="str">
        <f>IF(ISNA(VLOOKUP(テーブル1[[#This Row],[内容]],ポケモンマスタ!A:A,1,FALSE)),"error","ok")</f>
        <v>ok</v>
      </c>
      <c r="G92" s="3" t="s">
        <v>208</v>
      </c>
    </row>
    <row r="93" spans="1:7">
      <c r="A93" s="3">
        <v>92</v>
      </c>
      <c r="B93" s="3" t="s">
        <v>208</v>
      </c>
      <c r="C93" s="3" t="s">
        <v>207</v>
      </c>
      <c r="D93" s="3" t="s">
        <v>402</v>
      </c>
      <c r="F93" s="3" t="str">
        <f>IF(ISNA(VLOOKUP(テーブル1[[#This Row],[内容]],ポケモンマスタ!A:A,1,FALSE)),"error","ok")</f>
        <v>ok</v>
      </c>
      <c r="G93" s="3" t="s">
        <v>208</v>
      </c>
    </row>
    <row r="94" spans="1:7">
      <c r="A94" s="3">
        <v>93</v>
      </c>
      <c r="B94" s="3" t="s">
        <v>209</v>
      </c>
      <c r="C94" s="3" t="s">
        <v>211</v>
      </c>
      <c r="D94" s="3" t="s">
        <v>402</v>
      </c>
      <c r="F94" s="3" t="str">
        <f>IF(ISNA(VLOOKUP(テーブル1[[#This Row],[内容]],ポケモンマスタ!A:A,1,FALSE)),"error","ok")</f>
        <v>ok</v>
      </c>
    </row>
    <row r="95" spans="1:7">
      <c r="A95" s="3">
        <v>94</v>
      </c>
      <c r="B95" s="3" t="s">
        <v>214</v>
      </c>
      <c r="C95" s="3" t="s">
        <v>213</v>
      </c>
      <c r="D95" s="3" t="s">
        <v>402</v>
      </c>
      <c r="F95" s="3" t="str">
        <f>IF(ISNA(VLOOKUP(テーブル1[[#This Row],[内容]],ポケモンマスタ!A:A,1,FALSE)),"error","ok")</f>
        <v>ok</v>
      </c>
    </row>
    <row r="96" spans="1:7">
      <c r="A96" s="3">
        <v>95</v>
      </c>
      <c r="B96" s="3" t="s">
        <v>215</v>
      </c>
      <c r="D96" s="3" t="s">
        <v>402</v>
      </c>
      <c r="E96" s="3" t="s">
        <v>216</v>
      </c>
      <c r="F96" s="3" t="str">
        <f>IF(ISNA(VLOOKUP(テーブル1[[#This Row],[内容]],ポケモンマスタ!A:A,1,FALSE)),"error","ok")</f>
        <v>error</v>
      </c>
    </row>
    <row r="97" spans="1:7">
      <c r="A97" s="3">
        <v>96</v>
      </c>
      <c r="B97" s="3" t="s">
        <v>217</v>
      </c>
      <c r="C97" s="3" t="s">
        <v>69</v>
      </c>
      <c r="D97" s="3" t="s">
        <v>402</v>
      </c>
      <c r="F97" s="3" t="str">
        <f>IF(ISNA(VLOOKUP(テーブル1[[#This Row],[内容]],ポケモンマスタ!A:A,1,FALSE)),"error","ok")</f>
        <v>ok</v>
      </c>
      <c r="G97" s="3" t="s">
        <v>217</v>
      </c>
    </row>
    <row r="98" spans="1:7">
      <c r="A98" s="3">
        <v>97</v>
      </c>
      <c r="B98" s="3" t="s">
        <v>217</v>
      </c>
      <c r="C98" s="3" t="s">
        <v>219</v>
      </c>
      <c r="D98" s="3" t="s">
        <v>402</v>
      </c>
      <c r="F98" s="3" t="str">
        <f>IF(ISNA(VLOOKUP(テーブル1[[#This Row],[内容]],ポケモンマスタ!A:A,1,FALSE)),"error","ok")</f>
        <v>ok</v>
      </c>
      <c r="G98" s="3" t="s">
        <v>217</v>
      </c>
    </row>
    <row r="99" spans="1:7">
      <c r="A99" s="3">
        <v>98</v>
      </c>
      <c r="B99" s="3" t="s">
        <v>220</v>
      </c>
      <c r="C99" s="3" t="s">
        <v>222</v>
      </c>
      <c r="D99" s="3" t="s">
        <v>402</v>
      </c>
      <c r="F99" s="3" t="str">
        <f>IF(ISNA(VLOOKUP(テーブル1[[#This Row],[内容]],ポケモンマスタ!A:A,1,FALSE)),"error","ok")</f>
        <v>ok</v>
      </c>
    </row>
    <row r="100" spans="1:7">
      <c r="A100" s="3">
        <v>99</v>
      </c>
      <c r="B100" s="3" t="s">
        <v>223</v>
      </c>
      <c r="C100" s="3" t="s">
        <v>93</v>
      </c>
      <c r="D100" s="3" t="s">
        <v>402</v>
      </c>
      <c r="F100" s="3" t="str">
        <f>IF(ISNA(VLOOKUP(テーブル1[[#This Row],[内容]],ポケモンマスタ!A:A,1,FALSE)),"error","ok")</f>
        <v>ok</v>
      </c>
    </row>
    <row r="101" spans="1:7">
      <c r="A101" s="3">
        <v>100</v>
      </c>
      <c r="B101" s="3" t="s">
        <v>224</v>
      </c>
      <c r="C101" s="3" t="s">
        <v>226</v>
      </c>
      <c r="D101" s="3" t="s">
        <v>402</v>
      </c>
      <c r="F101" s="3" t="str">
        <f>IF(ISNA(VLOOKUP(テーブル1[[#This Row],[内容]],ポケモンマスタ!A:A,1,FALSE)),"error","ok")</f>
        <v>ok</v>
      </c>
    </row>
    <row r="102" spans="1:7">
      <c r="A102" s="3">
        <v>101</v>
      </c>
      <c r="B102" s="3" t="s">
        <v>229</v>
      </c>
      <c r="C102" s="3" t="s">
        <v>228</v>
      </c>
      <c r="D102" s="3" t="s">
        <v>402</v>
      </c>
      <c r="F102" s="3" t="str">
        <f>IF(ISNA(VLOOKUP(テーブル1[[#This Row],[内容]],ポケモンマスタ!A:A,1,FALSE)),"error","ok")</f>
        <v>ok</v>
      </c>
    </row>
    <row r="103" spans="1:7">
      <c r="A103" s="3">
        <v>102</v>
      </c>
      <c r="B103" s="3" t="s">
        <v>230</v>
      </c>
      <c r="C103" s="3" t="s">
        <v>232</v>
      </c>
      <c r="D103" s="3" t="s">
        <v>402</v>
      </c>
      <c r="F103" s="3" t="str">
        <f>IF(ISNA(VLOOKUP(テーブル1[[#This Row],[内容]],ポケモンマスタ!A:A,1,FALSE)),"error","ok")</f>
        <v>ok</v>
      </c>
    </row>
    <row r="104" spans="1:7">
      <c r="A104" s="3">
        <v>103</v>
      </c>
      <c r="B104" s="3" t="s">
        <v>235</v>
      </c>
      <c r="C104" s="3" t="s">
        <v>234</v>
      </c>
      <c r="D104" s="3" t="s">
        <v>402</v>
      </c>
      <c r="F104" s="3" t="str">
        <f>IF(ISNA(VLOOKUP(テーブル1[[#This Row],[内容]],ポケモンマスタ!A:A,1,FALSE)),"error","ok")</f>
        <v>ok</v>
      </c>
    </row>
    <row r="105" spans="1:7">
      <c r="A105" s="3">
        <v>104</v>
      </c>
      <c r="B105" s="3" t="s">
        <v>236</v>
      </c>
      <c r="C105" s="3" t="s">
        <v>238</v>
      </c>
      <c r="D105" s="3" t="s">
        <v>402</v>
      </c>
      <c r="F105" s="3" t="str">
        <f>IF(ISNA(VLOOKUP(テーブル1[[#This Row],[内容]],ポケモンマスタ!A:A,1,FALSE)),"error","ok")</f>
        <v>ok</v>
      </c>
    </row>
    <row r="106" spans="1:7">
      <c r="A106" s="3">
        <v>105</v>
      </c>
      <c r="B106" s="3" t="s">
        <v>242</v>
      </c>
      <c r="C106" s="3" t="s">
        <v>240</v>
      </c>
      <c r="D106" s="3" t="s">
        <v>402</v>
      </c>
      <c r="E106" s="3" t="s">
        <v>241</v>
      </c>
      <c r="F106" s="3" t="str">
        <f>IF(ISNA(VLOOKUP(テーブル1[[#This Row],[内容]],ポケモンマスタ!A:A,1,FALSE)),"error","ok")</f>
        <v>ok</v>
      </c>
    </row>
    <row r="107" spans="1:7">
      <c r="A107" s="3">
        <v>106</v>
      </c>
      <c r="B107" s="3" t="s">
        <v>243</v>
      </c>
      <c r="C107" s="3" t="s">
        <v>25</v>
      </c>
      <c r="D107" s="3" t="s">
        <v>402</v>
      </c>
      <c r="F107" s="3" t="str">
        <f>IF(ISNA(VLOOKUP(テーブル1[[#This Row],[内容]],ポケモンマスタ!A:A,1,FALSE)),"error","ok")</f>
        <v>ok</v>
      </c>
      <c r="G107" s="3" t="s">
        <v>243</v>
      </c>
    </row>
    <row r="108" spans="1:7">
      <c r="A108" s="3">
        <v>107</v>
      </c>
      <c r="B108" s="3" t="s">
        <v>243</v>
      </c>
      <c r="C108" s="3" t="s">
        <v>81</v>
      </c>
      <c r="D108" s="3" t="s">
        <v>402</v>
      </c>
      <c r="F108" s="3" t="str">
        <f>IF(ISNA(VLOOKUP(テーブル1[[#This Row],[内容]],ポケモンマスタ!A:A,1,FALSE)),"error","ok")</f>
        <v>ok</v>
      </c>
      <c r="G108" s="3" t="s">
        <v>243</v>
      </c>
    </row>
    <row r="109" spans="1:7">
      <c r="A109" s="3">
        <v>108</v>
      </c>
      <c r="B109" s="3" t="s">
        <v>244</v>
      </c>
      <c r="C109" s="3" t="s">
        <v>246</v>
      </c>
      <c r="D109" s="3" t="s">
        <v>402</v>
      </c>
      <c r="F109" s="3" t="str">
        <f>IF(ISNA(VLOOKUP(テーブル1[[#This Row],[内容]],ポケモンマスタ!A:A,1,FALSE)),"error","ok")</f>
        <v>ok</v>
      </c>
      <c r="G109" s="3" t="s">
        <v>244</v>
      </c>
    </row>
    <row r="110" spans="1:7">
      <c r="A110" s="3">
        <v>109</v>
      </c>
      <c r="B110" s="3" t="s">
        <v>244</v>
      </c>
      <c r="C110" s="3" t="s">
        <v>248</v>
      </c>
      <c r="D110" s="3" t="s">
        <v>402</v>
      </c>
      <c r="F110" s="3" t="str">
        <f>IF(ISNA(VLOOKUP(テーブル1[[#This Row],[内容]],ポケモンマスタ!A:A,1,FALSE)),"error","ok")</f>
        <v>ok</v>
      </c>
      <c r="G110" s="3" t="s">
        <v>244</v>
      </c>
    </row>
    <row r="111" spans="1:7">
      <c r="A111" s="3">
        <v>110</v>
      </c>
      <c r="B111" s="3" t="s">
        <v>249</v>
      </c>
      <c r="C111" s="3" t="s">
        <v>251</v>
      </c>
      <c r="D111" s="3" t="s">
        <v>402</v>
      </c>
      <c r="E111" s="3" t="s">
        <v>252</v>
      </c>
      <c r="F111" s="3" t="str">
        <f>IF(ISNA(VLOOKUP(テーブル1[[#This Row],[内容]],ポケモンマスタ!A:A,1,FALSE)),"error","ok")</f>
        <v>ok</v>
      </c>
    </row>
    <row r="112" spans="1:7">
      <c r="A112" s="3">
        <v>111</v>
      </c>
      <c r="B112" s="3" t="s">
        <v>253</v>
      </c>
      <c r="C112" s="3" t="s">
        <v>255</v>
      </c>
      <c r="D112" s="3" t="s">
        <v>402</v>
      </c>
      <c r="F112" s="3" t="str">
        <f>IF(ISNA(VLOOKUP(テーブル1[[#This Row],[内容]],ポケモンマスタ!A:A,1,FALSE)),"error","ok")</f>
        <v>ok</v>
      </c>
      <c r="G112" s="3" t="s">
        <v>253</v>
      </c>
    </row>
    <row r="113" spans="1:7">
      <c r="A113" s="3">
        <v>112</v>
      </c>
      <c r="B113" s="3" t="s">
        <v>253</v>
      </c>
      <c r="C113" s="3" t="s">
        <v>257</v>
      </c>
      <c r="D113" s="3" t="s">
        <v>402</v>
      </c>
      <c r="F113" s="3" t="str">
        <f>IF(ISNA(VLOOKUP(テーブル1[[#This Row],[内容]],ポケモンマスタ!A:A,1,FALSE)),"error","ok")</f>
        <v>ok</v>
      </c>
      <c r="G113" s="3" t="s">
        <v>253</v>
      </c>
    </row>
    <row r="114" spans="1:7">
      <c r="A114" s="3">
        <v>113</v>
      </c>
      <c r="B114" s="3" t="s">
        <v>253</v>
      </c>
      <c r="C114" s="3" t="s">
        <v>6</v>
      </c>
      <c r="D114" s="3" t="s">
        <v>402</v>
      </c>
      <c r="F114" s="3" t="str">
        <f>IF(ISNA(VLOOKUP(テーブル1[[#This Row],[内容]],ポケモンマスタ!A:A,1,FALSE)),"error","ok")</f>
        <v>ok</v>
      </c>
      <c r="G114" s="3" t="s">
        <v>253</v>
      </c>
    </row>
    <row r="115" spans="1:7">
      <c r="A115" s="3">
        <v>114</v>
      </c>
      <c r="B115" s="3" t="s">
        <v>258</v>
      </c>
      <c r="D115" s="3" t="s">
        <v>402</v>
      </c>
      <c r="E115" s="3" t="s">
        <v>259</v>
      </c>
      <c r="F115" s="3" t="str">
        <f>IF(ISNA(VLOOKUP(テーブル1[[#This Row],[内容]],ポケモンマスタ!A:A,1,FALSE)),"error","ok")</f>
        <v>error</v>
      </c>
    </row>
    <row r="116" spans="1:7">
      <c r="A116" s="3">
        <v>115</v>
      </c>
      <c r="B116" s="3" t="s">
        <v>260</v>
      </c>
      <c r="C116" s="3" t="s">
        <v>59</v>
      </c>
      <c r="D116" s="3" t="s">
        <v>402</v>
      </c>
      <c r="F116" s="3" t="str">
        <f>IF(ISNA(VLOOKUP(テーブル1[[#This Row],[内容]],ポケモンマスタ!A:A,1,FALSE)),"error","ok")</f>
        <v>ok</v>
      </c>
    </row>
    <row r="117" spans="1:7">
      <c r="A117" s="3">
        <v>116</v>
      </c>
      <c r="B117" s="3" t="s">
        <v>263</v>
      </c>
      <c r="C117" s="3" t="s">
        <v>262</v>
      </c>
      <c r="D117" s="3" t="s">
        <v>402</v>
      </c>
      <c r="F117" s="3" t="str">
        <f>IF(ISNA(VLOOKUP(テーブル1[[#This Row],[内容]],ポケモンマスタ!A:A,1,FALSE)),"error","ok")</f>
        <v>ok</v>
      </c>
    </row>
    <row r="118" spans="1:7">
      <c r="A118" s="3">
        <v>117</v>
      </c>
      <c r="B118" s="3" t="s">
        <v>264</v>
      </c>
      <c r="C118" s="3" t="s">
        <v>266</v>
      </c>
      <c r="D118" s="3" t="s">
        <v>402</v>
      </c>
      <c r="F118" s="3" t="str">
        <f>IF(ISNA(VLOOKUP(テーブル1[[#This Row],[内容]],ポケモンマスタ!A:A,1,FALSE)),"error","ok")</f>
        <v>ok</v>
      </c>
    </row>
    <row r="119" spans="1:7">
      <c r="A119" s="3">
        <v>118</v>
      </c>
      <c r="B119" s="3" t="s">
        <v>269</v>
      </c>
      <c r="C119" s="3" t="s">
        <v>268</v>
      </c>
      <c r="D119" s="3" t="s">
        <v>402</v>
      </c>
      <c r="F119" s="3" t="str">
        <f>IF(ISNA(VLOOKUP(テーブル1[[#This Row],[内容]],ポケモンマスタ!A:A,1,FALSE)),"error","ok")</f>
        <v>ok</v>
      </c>
    </row>
    <row r="120" spans="1:7">
      <c r="A120" s="3">
        <v>119</v>
      </c>
      <c r="B120" s="3" t="s">
        <v>270</v>
      </c>
      <c r="C120" s="3" t="s">
        <v>272</v>
      </c>
      <c r="D120" s="3" t="s">
        <v>402</v>
      </c>
      <c r="F120" s="3" t="str">
        <f>IF(ISNA(VLOOKUP(テーブル1[[#This Row],[内容]],ポケモンマスタ!A:A,1,FALSE)),"error","ok")</f>
        <v>ok</v>
      </c>
    </row>
    <row r="121" spans="1:7">
      <c r="A121" s="3">
        <v>120</v>
      </c>
      <c r="B121" s="3" t="s">
        <v>283</v>
      </c>
      <c r="C121" s="3" t="s">
        <v>274</v>
      </c>
      <c r="D121" s="3" t="s">
        <v>402</v>
      </c>
      <c r="F121" s="3" t="str">
        <f>IF(ISNA(VLOOKUP(テーブル1[[#This Row],[内容]],ポケモンマスタ!A:A,1,FALSE)),"error","ok")</f>
        <v>ok</v>
      </c>
      <c r="G121" s="3" t="s">
        <v>283</v>
      </c>
    </row>
    <row r="122" spans="1:7">
      <c r="A122" s="3">
        <v>121</v>
      </c>
      <c r="B122" s="3" t="s">
        <v>283</v>
      </c>
      <c r="C122" s="3" t="s">
        <v>276</v>
      </c>
      <c r="D122" s="3" t="s">
        <v>402</v>
      </c>
      <c r="F122" s="3" t="str">
        <f>IF(ISNA(VLOOKUP(テーブル1[[#This Row],[内容]],ポケモンマスタ!A:A,1,FALSE)),"error","ok")</f>
        <v>ok</v>
      </c>
      <c r="G122" s="3" t="s">
        <v>283</v>
      </c>
    </row>
    <row r="123" spans="1:7">
      <c r="A123" s="3">
        <v>122</v>
      </c>
      <c r="B123" s="3" t="s">
        <v>283</v>
      </c>
      <c r="C123" s="3" t="s">
        <v>278</v>
      </c>
      <c r="D123" s="3" t="s">
        <v>402</v>
      </c>
      <c r="F123" s="3" t="str">
        <f>IF(ISNA(VLOOKUP(テーブル1[[#This Row],[内容]],ポケモンマスタ!A:A,1,FALSE)),"error","ok")</f>
        <v>ok</v>
      </c>
      <c r="G123" s="3" t="s">
        <v>283</v>
      </c>
    </row>
    <row r="124" spans="1:7">
      <c r="A124" s="3">
        <v>123</v>
      </c>
      <c r="B124" s="3" t="s">
        <v>283</v>
      </c>
      <c r="C124" s="3" t="s">
        <v>280</v>
      </c>
      <c r="D124" s="3" t="s">
        <v>402</v>
      </c>
      <c r="F124" s="3" t="str">
        <f>IF(ISNA(VLOOKUP(テーブル1[[#This Row],[内容]],ポケモンマスタ!A:A,1,FALSE)),"error","ok")</f>
        <v>ok</v>
      </c>
      <c r="G124" s="3" t="s">
        <v>283</v>
      </c>
    </row>
    <row r="125" spans="1:7">
      <c r="A125" s="3">
        <v>124</v>
      </c>
      <c r="B125" s="3" t="s">
        <v>283</v>
      </c>
      <c r="C125" s="3" t="s">
        <v>282</v>
      </c>
      <c r="D125" s="3" t="s">
        <v>402</v>
      </c>
      <c r="F125" s="3" t="str">
        <f>IF(ISNA(VLOOKUP(テーブル1[[#This Row],[内容]],ポケモンマスタ!A:A,1,FALSE)),"error","ok")</f>
        <v>ok</v>
      </c>
      <c r="G125" s="3" t="s">
        <v>283</v>
      </c>
    </row>
    <row r="126" spans="1:7">
      <c r="A126" s="3">
        <v>125</v>
      </c>
      <c r="B126" s="3" t="s">
        <v>283</v>
      </c>
      <c r="C126" s="3" t="s">
        <v>19</v>
      </c>
      <c r="D126" s="3" t="s">
        <v>402</v>
      </c>
      <c r="F126" s="3" t="str">
        <f>IF(ISNA(VLOOKUP(テーブル1[[#This Row],[内容]],ポケモンマスタ!A:A,1,FALSE)),"error","ok")</f>
        <v>ok</v>
      </c>
      <c r="G126" s="3" t="s">
        <v>283</v>
      </c>
    </row>
    <row r="127" spans="1:7">
      <c r="A127" s="3">
        <v>126</v>
      </c>
      <c r="B127" s="3" t="s">
        <v>284</v>
      </c>
      <c r="C127" s="3" t="s">
        <v>234</v>
      </c>
      <c r="D127" s="3" t="s">
        <v>402</v>
      </c>
      <c r="F127" s="3" t="str">
        <f>IF(ISNA(VLOOKUP(テーブル1[[#This Row],[内容]],ポケモンマスタ!A:A,1,FALSE)),"error","ok")</f>
        <v>ok</v>
      </c>
      <c r="G127" s="3" t="s">
        <v>284</v>
      </c>
    </row>
    <row r="128" spans="1:7">
      <c r="A128" s="3">
        <v>127</v>
      </c>
      <c r="B128" s="3" t="s">
        <v>284</v>
      </c>
      <c r="C128" s="3" t="s">
        <v>286</v>
      </c>
      <c r="D128" s="3" t="s">
        <v>402</v>
      </c>
      <c r="F128" s="3" t="str">
        <f>IF(ISNA(VLOOKUP(テーブル1[[#This Row],[内容]],ポケモンマスタ!A:A,1,FALSE)),"error","ok")</f>
        <v>ok</v>
      </c>
      <c r="G128" s="3" t="s">
        <v>284</v>
      </c>
    </row>
    <row r="129" spans="1:7">
      <c r="A129" s="3">
        <v>128</v>
      </c>
      <c r="B129" s="3" t="s">
        <v>284</v>
      </c>
      <c r="C129" s="3" t="s">
        <v>16</v>
      </c>
      <c r="D129" s="3" t="s">
        <v>402</v>
      </c>
      <c r="F129" s="3" t="str">
        <f>IF(ISNA(VLOOKUP(テーブル1[[#This Row],[内容]],ポケモンマスタ!A:A,1,FALSE)),"error","ok")</f>
        <v>ok</v>
      </c>
      <c r="G129" s="3" t="s">
        <v>284</v>
      </c>
    </row>
    <row r="130" spans="1:7">
      <c r="A130" s="3">
        <v>129</v>
      </c>
      <c r="B130" s="3" t="s">
        <v>284</v>
      </c>
      <c r="C130" s="3" t="s">
        <v>77</v>
      </c>
      <c r="D130" s="3" t="s">
        <v>402</v>
      </c>
      <c r="F130" s="3" t="str">
        <f>IF(ISNA(VLOOKUP(テーブル1[[#This Row],[内容]],ポケモンマスタ!A:A,1,FALSE)),"error","ok")</f>
        <v>ok</v>
      </c>
      <c r="G130" s="3" t="s">
        <v>284</v>
      </c>
    </row>
    <row r="131" spans="1:7">
      <c r="A131" s="3">
        <v>130</v>
      </c>
      <c r="B131" s="3" t="s">
        <v>284</v>
      </c>
      <c r="C131" s="3" t="s">
        <v>288</v>
      </c>
      <c r="D131" s="3" t="s">
        <v>402</v>
      </c>
      <c r="F131" s="3" t="str">
        <f>IF(ISNA(VLOOKUP(テーブル1[[#This Row],[内容]],ポケモンマスタ!A:A,1,FALSE)),"error","ok")</f>
        <v>ok</v>
      </c>
      <c r="G131" s="3" t="s">
        <v>284</v>
      </c>
    </row>
    <row r="132" spans="1:7">
      <c r="A132" s="3">
        <v>131</v>
      </c>
      <c r="B132" s="3" t="s">
        <v>284</v>
      </c>
      <c r="C132" s="3" t="s">
        <v>196</v>
      </c>
      <c r="D132" s="3" t="s">
        <v>402</v>
      </c>
      <c r="F132" s="3" t="str">
        <f>IF(ISNA(VLOOKUP(テーブル1[[#This Row],[内容]],ポケモンマスタ!A:A,1,FALSE)),"error","ok")</f>
        <v>ok</v>
      </c>
      <c r="G132" s="3" t="s">
        <v>284</v>
      </c>
    </row>
    <row r="133" spans="1:7">
      <c r="A133" s="3">
        <v>132</v>
      </c>
      <c r="B133" s="3" t="s">
        <v>289</v>
      </c>
      <c r="C133" s="3" t="s">
        <v>134</v>
      </c>
      <c r="D133" s="3" t="s">
        <v>402</v>
      </c>
      <c r="F133" s="3" t="str">
        <f>IF(ISNA(VLOOKUP(テーブル1[[#This Row],[内容]],ポケモンマスタ!A:A,1,FALSE)),"error","ok")</f>
        <v>ok</v>
      </c>
    </row>
    <row r="134" spans="1:7">
      <c r="A134" s="3">
        <v>133</v>
      </c>
      <c r="B134" s="3" t="s">
        <v>290</v>
      </c>
      <c r="C134" s="3" t="s">
        <v>292</v>
      </c>
      <c r="D134" s="3" t="s">
        <v>402</v>
      </c>
      <c r="F134" s="3" t="str">
        <f>IF(ISNA(VLOOKUP(テーブル1[[#This Row],[内容]],ポケモンマスタ!A:A,1,FALSE)),"error","ok")</f>
        <v>ok</v>
      </c>
      <c r="G134" s="3" t="s">
        <v>290</v>
      </c>
    </row>
    <row r="135" spans="1:7">
      <c r="A135" s="3">
        <v>134</v>
      </c>
      <c r="B135" s="3" t="s">
        <v>290</v>
      </c>
      <c r="C135" s="3" t="s">
        <v>294</v>
      </c>
      <c r="D135" s="3" t="s">
        <v>402</v>
      </c>
      <c r="F135" s="3" t="str">
        <f>IF(ISNA(VLOOKUP(テーブル1[[#This Row],[内容]],ポケモンマスタ!A:A,1,FALSE)),"error","ok")</f>
        <v>ok</v>
      </c>
      <c r="G135" s="3" t="s">
        <v>290</v>
      </c>
    </row>
    <row r="136" spans="1:7">
      <c r="A136" s="3">
        <v>135</v>
      </c>
      <c r="B136" s="3" t="s">
        <v>290</v>
      </c>
      <c r="C136" s="3" t="s">
        <v>118</v>
      </c>
      <c r="D136" s="3" t="s">
        <v>402</v>
      </c>
      <c r="F136" s="3" t="str">
        <f>IF(ISNA(VLOOKUP(テーブル1[[#This Row],[内容]],ポケモンマスタ!A:A,1,FALSE)),"error","ok")</f>
        <v>ok</v>
      </c>
      <c r="G136" s="3" t="s">
        <v>290</v>
      </c>
    </row>
    <row r="137" spans="1:7">
      <c r="A137" s="3">
        <v>136</v>
      </c>
      <c r="B137" s="3" t="s">
        <v>297</v>
      </c>
      <c r="C137" s="3" t="s">
        <v>296</v>
      </c>
      <c r="D137" s="3" t="s">
        <v>402</v>
      </c>
      <c r="F137" s="3" t="str">
        <f>IF(ISNA(VLOOKUP(テーブル1[[#This Row],[内容]],ポケモンマスタ!A:A,1,FALSE)),"error","ok")</f>
        <v>ok</v>
      </c>
    </row>
    <row r="138" spans="1:7">
      <c r="A138" s="3">
        <v>137</v>
      </c>
      <c r="B138" s="3" t="s">
        <v>298</v>
      </c>
      <c r="C138" s="3" t="s">
        <v>300</v>
      </c>
      <c r="D138" s="3" t="s">
        <v>402</v>
      </c>
      <c r="F138" s="3" t="str">
        <f>IF(ISNA(VLOOKUP(テーブル1[[#This Row],[内容]],ポケモンマスタ!A:A,1,FALSE)),"error","ok")</f>
        <v>ok</v>
      </c>
      <c r="G138" s="3" t="s">
        <v>298</v>
      </c>
    </row>
    <row r="139" spans="1:7">
      <c r="A139" s="3">
        <v>138</v>
      </c>
      <c r="B139" s="3" t="s">
        <v>298</v>
      </c>
      <c r="C139" s="3" t="s">
        <v>91</v>
      </c>
      <c r="D139" s="3" t="s">
        <v>402</v>
      </c>
      <c r="F139" s="3" t="str">
        <f>IF(ISNA(VLOOKUP(テーブル1[[#This Row],[内容]],ポケモンマスタ!A:A,1,FALSE)),"error","ok")</f>
        <v>ok</v>
      </c>
      <c r="G139" s="3" t="s">
        <v>298</v>
      </c>
    </row>
    <row r="140" spans="1:7">
      <c r="A140" s="3">
        <v>139</v>
      </c>
      <c r="B140" s="3" t="s">
        <v>298</v>
      </c>
      <c r="C140" s="3" t="s">
        <v>302</v>
      </c>
      <c r="D140" s="3" t="s">
        <v>402</v>
      </c>
      <c r="F140" s="3" t="str">
        <f>IF(ISNA(VLOOKUP(テーブル1[[#This Row],[内容]],ポケモンマスタ!A:A,1,FALSE)),"error","ok")</f>
        <v>ok</v>
      </c>
      <c r="G140" s="3" t="s">
        <v>298</v>
      </c>
    </row>
    <row r="141" spans="1:7">
      <c r="A141" s="3">
        <v>140</v>
      </c>
      <c r="B141" s="3" t="s">
        <v>298</v>
      </c>
      <c r="C141" s="3" t="s">
        <v>304</v>
      </c>
      <c r="D141" s="3" t="s">
        <v>402</v>
      </c>
      <c r="F141" s="3" t="str">
        <f>IF(ISNA(VLOOKUP(テーブル1[[#This Row],[内容]],ポケモンマスタ!A:A,1,FALSE)),"error","ok")</f>
        <v>ok</v>
      </c>
      <c r="G141" s="3" t="s">
        <v>298</v>
      </c>
    </row>
    <row r="142" spans="1:7">
      <c r="A142" s="3">
        <v>141</v>
      </c>
      <c r="B142" s="3" t="s">
        <v>298</v>
      </c>
      <c r="C142" s="3" t="s">
        <v>81</v>
      </c>
      <c r="D142" s="3" t="s">
        <v>402</v>
      </c>
      <c r="F142" s="3" t="str">
        <f>IF(ISNA(VLOOKUP(テーブル1[[#This Row],[内容]],ポケモンマスタ!A:A,1,FALSE)),"error","ok")</f>
        <v>ok</v>
      </c>
      <c r="G142" s="3" t="s">
        <v>298</v>
      </c>
    </row>
    <row r="143" spans="1:7">
      <c r="A143" s="3">
        <v>142</v>
      </c>
      <c r="B143" s="3" t="s">
        <v>298</v>
      </c>
      <c r="C143" s="3" t="s">
        <v>16</v>
      </c>
      <c r="D143" s="3" t="s">
        <v>402</v>
      </c>
      <c r="F143" s="3" t="str">
        <f>IF(ISNA(VLOOKUP(テーブル1[[#This Row],[内容]],ポケモンマスタ!A:A,1,FALSE)),"error","ok")</f>
        <v>ok</v>
      </c>
      <c r="G143" s="3" t="s">
        <v>298</v>
      </c>
    </row>
    <row r="144" spans="1:7">
      <c r="A144" s="3">
        <v>143</v>
      </c>
      <c r="B144" s="3" t="s">
        <v>306</v>
      </c>
      <c r="D144" s="3" t="s">
        <v>402</v>
      </c>
      <c r="E144" s="3" t="s">
        <v>305</v>
      </c>
      <c r="F144" s="3" t="str">
        <f>IF(ISNA(VLOOKUP(テーブル1[[#This Row],[内容]],ポケモンマスタ!A:A,1,FALSE)),"error","ok")</f>
        <v>error</v>
      </c>
    </row>
    <row r="145" spans="1:7">
      <c r="A145" s="3">
        <v>144</v>
      </c>
      <c r="B145" s="3" t="s">
        <v>307</v>
      </c>
      <c r="C145" s="3" t="s">
        <v>188</v>
      </c>
      <c r="D145" s="3" t="s">
        <v>402</v>
      </c>
      <c r="F145" s="3" t="str">
        <f>IF(ISNA(VLOOKUP(テーブル1[[#This Row],[内容]],ポケモンマスタ!A:A,1,FALSE)),"error","ok")</f>
        <v>ok</v>
      </c>
    </row>
    <row r="146" spans="1:7">
      <c r="A146" s="3">
        <v>145</v>
      </c>
      <c r="B146" s="3" t="s">
        <v>310</v>
      </c>
      <c r="C146" s="3" t="s">
        <v>309</v>
      </c>
      <c r="D146" s="3" t="s">
        <v>402</v>
      </c>
      <c r="F146" s="3" t="str">
        <f>IF(ISNA(VLOOKUP(テーブル1[[#This Row],[内容]],ポケモンマスタ!A:A,1,FALSE)),"error","ok")</f>
        <v>ok</v>
      </c>
    </row>
    <row r="147" spans="1:7">
      <c r="A147" s="3">
        <v>146</v>
      </c>
      <c r="B147" s="3" t="s">
        <v>311</v>
      </c>
      <c r="C147" s="3" t="s">
        <v>207</v>
      </c>
      <c r="D147" s="3" t="s">
        <v>402</v>
      </c>
      <c r="E147" s="3" t="s">
        <v>318</v>
      </c>
      <c r="F147" s="3" t="str">
        <f>IF(ISNA(VLOOKUP(テーブル1[[#This Row],[内容]],ポケモンマスタ!A:A,1,FALSE)),"error","ok")</f>
        <v>ok</v>
      </c>
      <c r="G147" s="3" t="s">
        <v>311</v>
      </c>
    </row>
    <row r="148" spans="1:7">
      <c r="A148" s="3">
        <v>147</v>
      </c>
      <c r="B148" s="3" t="s">
        <v>311</v>
      </c>
      <c r="C148" s="3" t="s">
        <v>251</v>
      </c>
      <c r="D148" s="3" t="s">
        <v>402</v>
      </c>
      <c r="E148" s="3" t="s">
        <v>318</v>
      </c>
      <c r="F148" s="3" t="str">
        <f>IF(ISNA(VLOOKUP(テーブル1[[#This Row],[内容]],ポケモンマスタ!A:A,1,FALSE)),"error","ok")</f>
        <v>ok</v>
      </c>
      <c r="G148" s="3" t="s">
        <v>311</v>
      </c>
    </row>
    <row r="149" spans="1:7">
      <c r="A149" s="3">
        <v>148</v>
      </c>
      <c r="B149" s="3" t="s">
        <v>311</v>
      </c>
      <c r="C149" s="3" t="s">
        <v>313</v>
      </c>
      <c r="D149" s="3" t="s">
        <v>402</v>
      </c>
      <c r="E149" s="3" t="s">
        <v>318</v>
      </c>
      <c r="F149" s="3" t="str">
        <f>IF(ISNA(VLOOKUP(テーブル1[[#This Row],[内容]],ポケモンマスタ!A:A,1,FALSE)),"error","ok")</f>
        <v>ok</v>
      </c>
      <c r="G149" s="3" t="s">
        <v>311</v>
      </c>
    </row>
    <row r="150" spans="1:7">
      <c r="A150" s="3">
        <v>149</v>
      </c>
      <c r="B150" s="3" t="s">
        <v>311</v>
      </c>
      <c r="C150" s="3" t="s">
        <v>315</v>
      </c>
      <c r="D150" s="3" t="s">
        <v>402</v>
      </c>
      <c r="E150" s="3" t="s">
        <v>318</v>
      </c>
      <c r="F150" s="3" t="str">
        <f>IF(ISNA(VLOOKUP(テーブル1[[#This Row],[内容]],ポケモンマスタ!A:A,1,FALSE)),"error","ok")</f>
        <v>ok</v>
      </c>
      <c r="G150" s="3" t="s">
        <v>311</v>
      </c>
    </row>
    <row r="151" spans="1:7">
      <c r="A151" s="3">
        <v>150</v>
      </c>
      <c r="B151" s="3" t="s">
        <v>311</v>
      </c>
      <c r="C151" s="3" t="s">
        <v>317</v>
      </c>
      <c r="D151" s="3" t="s">
        <v>402</v>
      </c>
      <c r="E151" s="3" t="s">
        <v>318</v>
      </c>
      <c r="F151" s="3" t="str">
        <f>IF(ISNA(VLOOKUP(テーブル1[[#This Row],[内容]],ポケモンマスタ!A:A,1,FALSE)),"error","ok")</f>
        <v>ok</v>
      </c>
      <c r="G151" s="3" t="s">
        <v>311</v>
      </c>
    </row>
    <row r="152" spans="1:7">
      <c r="A152" s="3">
        <v>151</v>
      </c>
      <c r="B152" s="3" t="s">
        <v>319</v>
      </c>
      <c r="C152" s="3" t="s">
        <v>321</v>
      </c>
      <c r="D152" s="3" t="s">
        <v>402</v>
      </c>
      <c r="F152" s="3" t="str">
        <f>IF(ISNA(VLOOKUP(テーブル1[[#This Row],[内容]],ポケモンマスタ!A:A,1,FALSE)),"error","ok")</f>
        <v>ok</v>
      </c>
    </row>
    <row r="153" spans="1:7">
      <c r="A153" s="3">
        <v>152</v>
      </c>
      <c r="B153" s="3" t="s">
        <v>324</v>
      </c>
      <c r="C153" s="3" t="s">
        <v>323</v>
      </c>
      <c r="D153" s="3" t="s">
        <v>402</v>
      </c>
      <c r="F153" s="3" t="str">
        <f>IF(ISNA(VLOOKUP(テーブル1[[#This Row],[内容]],ポケモンマスタ!A:A,1,FALSE)),"error","ok")</f>
        <v>ok</v>
      </c>
    </row>
    <row r="154" spans="1:7">
      <c r="A154" s="3">
        <v>153</v>
      </c>
      <c r="B154" s="3" t="s">
        <v>325</v>
      </c>
      <c r="C154" s="3" t="s">
        <v>327</v>
      </c>
      <c r="D154" s="3" t="s">
        <v>402</v>
      </c>
      <c r="F154" s="3" t="str">
        <f>IF(ISNA(VLOOKUP(テーブル1[[#This Row],[内容]],ポケモンマスタ!A:A,1,FALSE)),"error","ok")</f>
        <v>ok</v>
      </c>
    </row>
    <row r="155" spans="1:7">
      <c r="A155" s="3">
        <v>154</v>
      </c>
      <c r="B155" s="3" t="s">
        <v>332</v>
      </c>
      <c r="C155" s="3" t="s">
        <v>116</v>
      </c>
      <c r="D155" s="3" t="s">
        <v>402</v>
      </c>
      <c r="F155" s="3" t="str">
        <f>IF(ISNA(VLOOKUP(テーブル1[[#This Row],[内容]],ポケモンマスタ!A:A,1,FALSE)),"error","ok")</f>
        <v>ok</v>
      </c>
      <c r="G155" s="3" t="s">
        <v>332</v>
      </c>
    </row>
    <row r="156" spans="1:7">
      <c r="A156" s="3">
        <v>155</v>
      </c>
      <c r="B156" s="3" t="s">
        <v>332</v>
      </c>
      <c r="C156" s="3" t="s">
        <v>6</v>
      </c>
      <c r="D156" s="3" t="s">
        <v>402</v>
      </c>
      <c r="F156" s="3" t="str">
        <f>IF(ISNA(VLOOKUP(テーブル1[[#This Row],[内容]],ポケモンマスタ!A:A,1,FALSE)),"error","ok")</f>
        <v>ok</v>
      </c>
      <c r="G156" s="3" t="s">
        <v>332</v>
      </c>
    </row>
    <row r="157" spans="1:7">
      <c r="A157" s="3">
        <v>156</v>
      </c>
      <c r="B157" s="3" t="s">
        <v>332</v>
      </c>
      <c r="C157" s="3" t="s">
        <v>329</v>
      </c>
      <c r="D157" s="3" t="s">
        <v>402</v>
      </c>
      <c r="F157" s="3" t="str">
        <f>IF(ISNA(VLOOKUP(テーブル1[[#This Row],[内容]],ポケモンマスタ!A:A,1,FALSE)),"error","ok")</f>
        <v>ok</v>
      </c>
      <c r="G157" s="3" t="s">
        <v>332</v>
      </c>
    </row>
    <row r="158" spans="1:7">
      <c r="A158" s="3">
        <v>157</v>
      </c>
      <c r="B158" s="3" t="s">
        <v>332</v>
      </c>
      <c r="C158" s="3" t="s">
        <v>331</v>
      </c>
      <c r="D158" s="3" t="s">
        <v>402</v>
      </c>
      <c r="F158" s="3" t="str">
        <f>IF(ISNA(VLOOKUP(テーブル1[[#This Row],[内容]],ポケモンマスタ!A:A,1,FALSE)),"error","ok")</f>
        <v>ok</v>
      </c>
      <c r="G158" s="3" t="s">
        <v>332</v>
      </c>
    </row>
    <row r="159" spans="1:7">
      <c r="A159" s="3">
        <v>158</v>
      </c>
      <c r="B159" s="3" t="s">
        <v>332</v>
      </c>
      <c r="C159" s="3" t="s">
        <v>10</v>
      </c>
      <c r="D159" s="3" t="s">
        <v>402</v>
      </c>
      <c r="F159" s="3" t="str">
        <f>IF(ISNA(VLOOKUP(テーブル1[[#This Row],[内容]],ポケモンマスタ!A:A,1,FALSE)),"error","ok")</f>
        <v>ok</v>
      </c>
      <c r="G159" s="3" t="s">
        <v>332</v>
      </c>
    </row>
    <row r="160" spans="1:7">
      <c r="A160" s="3">
        <v>159</v>
      </c>
      <c r="B160" s="3" t="s">
        <v>335</v>
      </c>
      <c r="C160" s="3" t="s">
        <v>334</v>
      </c>
      <c r="D160" s="3" t="s">
        <v>402</v>
      </c>
      <c r="F160" s="3" t="str">
        <f>IF(ISNA(VLOOKUP(テーブル1[[#This Row],[内容]],ポケモンマスタ!A:A,1,FALSE)),"error","ok")</f>
        <v>ok</v>
      </c>
    </row>
    <row r="161" spans="1:7">
      <c r="A161" s="3">
        <v>160</v>
      </c>
      <c r="B161" s="3" t="s">
        <v>336</v>
      </c>
      <c r="C161" s="3" t="s">
        <v>338</v>
      </c>
      <c r="D161" s="3" t="s">
        <v>402</v>
      </c>
      <c r="F161" s="3" t="str">
        <f>IF(ISNA(VLOOKUP(テーブル1[[#This Row],[内容]],ポケモンマスタ!A:A,1,FALSE)),"error","ok")</f>
        <v>ok</v>
      </c>
    </row>
    <row r="162" spans="1:7">
      <c r="A162" s="3">
        <v>161</v>
      </c>
      <c r="B162" s="3" t="s">
        <v>341</v>
      </c>
      <c r="C162" s="3" t="s">
        <v>340</v>
      </c>
      <c r="D162" s="3" t="s">
        <v>402</v>
      </c>
      <c r="F162" s="3" t="str">
        <f>IF(ISNA(VLOOKUP(テーブル1[[#This Row],[内容]],ポケモンマスタ!A:A,1,FALSE)),"error","ok")</f>
        <v>ok</v>
      </c>
    </row>
    <row r="163" spans="1:7">
      <c r="A163" s="3">
        <v>162</v>
      </c>
      <c r="B163" s="3" t="s">
        <v>342</v>
      </c>
      <c r="C163" s="3" t="s">
        <v>344</v>
      </c>
      <c r="D163" s="3" t="s">
        <v>402</v>
      </c>
      <c r="F163" s="3" t="str">
        <f>IF(ISNA(VLOOKUP(テーブル1[[#This Row],[内容]],ポケモンマスタ!A:A,1,FALSE)),"error","ok")</f>
        <v>ok</v>
      </c>
    </row>
    <row r="164" spans="1:7">
      <c r="A164" s="3">
        <v>163</v>
      </c>
      <c r="B164" s="3" t="s">
        <v>345</v>
      </c>
      <c r="C164" s="3" t="s">
        <v>194</v>
      </c>
      <c r="D164" s="3" t="s">
        <v>402</v>
      </c>
      <c r="F164" s="3" t="str">
        <f>IF(ISNA(VLOOKUP(テーブル1[[#This Row],[内容]],ポケモンマスタ!A:A,1,FALSE)),"error","ok")</f>
        <v>ok</v>
      </c>
    </row>
    <row r="165" spans="1:7">
      <c r="A165" s="3">
        <v>164</v>
      </c>
      <c r="B165" s="3" t="s">
        <v>346</v>
      </c>
      <c r="C165" s="3" t="s">
        <v>211</v>
      </c>
      <c r="D165" s="3" t="s">
        <v>402</v>
      </c>
      <c r="F165" s="3" t="str">
        <f>IF(ISNA(VLOOKUP(テーブル1[[#This Row],[内容]],ポケモンマスタ!A:A,1,FALSE)),"error","ok")</f>
        <v>ok</v>
      </c>
    </row>
    <row r="166" spans="1:7">
      <c r="A166" s="3">
        <v>165</v>
      </c>
      <c r="B166" s="3" t="s">
        <v>349</v>
      </c>
      <c r="C166" s="3" t="s">
        <v>348</v>
      </c>
      <c r="D166" s="3" t="s">
        <v>402</v>
      </c>
      <c r="F166" s="3" t="str">
        <f>IF(ISNA(VLOOKUP(テーブル1[[#This Row],[内容]],ポケモンマスタ!A:A,1,FALSE)),"error","ok")</f>
        <v>ok</v>
      </c>
    </row>
    <row r="167" spans="1:7">
      <c r="A167" s="3">
        <v>166</v>
      </c>
      <c r="B167" s="3" t="s">
        <v>350</v>
      </c>
      <c r="C167" s="3" t="s">
        <v>352</v>
      </c>
      <c r="D167" s="3" t="s">
        <v>402</v>
      </c>
      <c r="F167" s="3" t="str">
        <f>IF(ISNA(VLOOKUP(テーブル1[[#This Row],[内容]],ポケモンマスタ!A:A,1,FALSE)),"error","ok")</f>
        <v>ok</v>
      </c>
    </row>
    <row r="168" spans="1:7">
      <c r="A168" s="3">
        <v>167</v>
      </c>
      <c r="B168" s="3" t="s">
        <v>355</v>
      </c>
      <c r="C168" s="3" t="s">
        <v>354</v>
      </c>
      <c r="D168" s="3" t="s">
        <v>402</v>
      </c>
      <c r="F168" s="3" t="str">
        <f>IF(ISNA(VLOOKUP(テーブル1[[#This Row],[内容]],ポケモンマスタ!A:A,1,FALSE)),"error","ok")</f>
        <v>ok</v>
      </c>
    </row>
    <row r="169" spans="1:7">
      <c r="A169" s="3">
        <v>168</v>
      </c>
      <c r="B169" s="3" t="s">
        <v>356</v>
      </c>
      <c r="C169" s="3" t="s">
        <v>358</v>
      </c>
      <c r="D169" s="3" t="s">
        <v>402</v>
      </c>
      <c r="F169" s="3" t="str">
        <f>IF(ISNA(VLOOKUP(テーブル1[[#This Row],[内容]],ポケモンマスタ!A:A,1,FALSE)),"error","ok")</f>
        <v>ok</v>
      </c>
    </row>
    <row r="170" spans="1:7">
      <c r="A170" s="3">
        <v>169</v>
      </c>
      <c r="B170" s="3" t="s">
        <v>359</v>
      </c>
      <c r="C170" s="3" t="s">
        <v>16</v>
      </c>
      <c r="D170" s="3" t="s">
        <v>402</v>
      </c>
      <c r="E170" s="3" t="s">
        <v>360</v>
      </c>
      <c r="F170" s="3" t="str">
        <f>IF(ISNA(VLOOKUP(テーブル1[[#This Row],[内容]],ポケモンマスタ!A:A,1,FALSE)),"error","ok")</f>
        <v>ok</v>
      </c>
    </row>
    <row r="171" spans="1:7">
      <c r="A171" s="3">
        <v>170</v>
      </c>
      <c r="B171" s="3" t="s">
        <v>361</v>
      </c>
      <c r="C171" s="3" t="s">
        <v>14</v>
      </c>
      <c r="D171" s="3" t="s">
        <v>402</v>
      </c>
      <c r="F171" s="3" t="str">
        <f>IF(ISNA(VLOOKUP(テーブル1[[#This Row],[内容]],ポケモンマスタ!A:A,1,FALSE)),"error","ok")</f>
        <v>ok</v>
      </c>
    </row>
    <row r="172" spans="1:7">
      <c r="A172" s="3">
        <v>171</v>
      </c>
      <c r="B172" s="3" t="s">
        <v>362</v>
      </c>
      <c r="C172" s="3" t="s">
        <v>12</v>
      </c>
      <c r="D172" s="3" t="s">
        <v>402</v>
      </c>
      <c r="F172" s="3" t="str">
        <f>IF(ISNA(VLOOKUP(テーブル1[[#This Row],[内容]],ポケモンマスタ!A:A,1,FALSE)),"error","ok")</f>
        <v>ok</v>
      </c>
    </row>
    <row r="173" spans="1:7">
      <c r="A173" s="3">
        <v>172</v>
      </c>
      <c r="B173" s="3" t="s">
        <v>30</v>
      </c>
      <c r="C173" s="3" t="s">
        <v>262</v>
      </c>
      <c r="D173" s="3" t="s">
        <v>402</v>
      </c>
      <c r="F173" s="3" t="str">
        <f>IF(ISNA(VLOOKUP(テーブル1[[#This Row],[内容]],ポケモンマスタ!A:A,1,FALSE)),"error","ok")</f>
        <v>ok</v>
      </c>
    </row>
    <row r="174" spans="1:7">
      <c r="A174" s="3">
        <v>173</v>
      </c>
      <c r="B174" s="3" t="s">
        <v>368</v>
      </c>
      <c r="C174" s="3" t="s">
        <v>369</v>
      </c>
      <c r="D174" s="3" t="s">
        <v>402</v>
      </c>
      <c r="F174" s="3" t="str">
        <f>IF(ISNA(VLOOKUP(テーブル1[[#This Row],[内容]],ポケモンマスタ!A:A,1,FALSE)),"error","ok")</f>
        <v>ok</v>
      </c>
    </row>
    <row r="175" spans="1:7">
      <c r="A175" s="3">
        <v>174</v>
      </c>
      <c r="B175" s="3" t="s">
        <v>370</v>
      </c>
      <c r="C175" s="3" t="s">
        <v>371</v>
      </c>
      <c r="D175" s="3" t="s">
        <v>402</v>
      </c>
      <c r="E175" s="3" t="s">
        <v>375</v>
      </c>
      <c r="F175" s="3" t="str">
        <f>IF(ISNA(VLOOKUP(テーブル1[[#This Row],[内容]],ポケモンマスタ!A:A,1,FALSE)),"error","ok")</f>
        <v>ok</v>
      </c>
      <c r="G175" s="3" t="s">
        <v>370</v>
      </c>
    </row>
    <row r="176" spans="1:7">
      <c r="A176" s="3">
        <v>175</v>
      </c>
      <c r="B176" s="3" t="s">
        <v>370</v>
      </c>
      <c r="C176" s="3" t="s">
        <v>372</v>
      </c>
      <c r="D176" s="3" t="s">
        <v>402</v>
      </c>
      <c r="E176" s="3" t="s">
        <v>376</v>
      </c>
      <c r="F176" s="3" t="str">
        <f>IF(ISNA(VLOOKUP(テーブル1[[#This Row],[内容]],ポケモンマスタ!A:A,1,FALSE)),"error","ok")</f>
        <v>ok</v>
      </c>
      <c r="G176" s="3" t="s">
        <v>370</v>
      </c>
    </row>
    <row r="177" spans="1:7">
      <c r="A177" s="3">
        <v>176</v>
      </c>
      <c r="B177" s="3" t="s">
        <v>370</v>
      </c>
      <c r="C177" s="3" t="s">
        <v>373</v>
      </c>
      <c r="D177" s="3" t="s">
        <v>402</v>
      </c>
      <c r="E177" s="3" t="s">
        <v>377</v>
      </c>
      <c r="F177" s="3" t="str">
        <f>IF(ISNA(VLOOKUP(テーブル1[[#This Row],[内容]],ポケモンマスタ!A:A,1,FALSE)),"error","ok")</f>
        <v>ok</v>
      </c>
      <c r="G177" s="3" t="s">
        <v>370</v>
      </c>
    </row>
    <row r="178" spans="1:7">
      <c r="A178" s="3">
        <v>177</v>
      </c>
      <c r="B178" s="3" t="s">
        <v>370</v>
      </c>
      <c r="C178" s="3" t="s">
        <v>374</v>
      </c>
      <c r="D178" s="3" t="s">
        <v>402</v>
      </c>
      <c r="E178" s="3" t="s">
        <v>378</v>
      </c>
      <c r="F178" s="3" t="str">
        <f>IF(ISNA(VLOOKUP(テーブル1[[#This Row],[内容]],ポケモンマスタ!A:A,1,FALSE)),"error","ok")</f>
        <v>ok</v>
      </c>
      <c r="G178" s="3" t="s">
        <v>370</v>
      </c>
    </row>
    <row r="179" spans="1:7">
      <c r="A179" s="3">
        <v>178</v>
      </c>
      <c r="B179" s="3" t="s">
        <v>379</v>
      </c>
      <c r="C179" s="3" t="s">
        <v>380</v>
      </c>
      <c r="D179" s="3" t="s">
        <v>402</v>
      </c>
      <c r="F179" s="3" t="str">
        <f>IF(ISNA(VLOOKUP(テーブル1[[#This Row],[内容]],ポケモンマスタ!A:A,1,FALSE)),"error","ok")</f>
        <v>ok</v>
      </c>
    </row>
    <row r="180" spans="1:7">
      <c r="A180" s="3">
        <v>179</v>
      </c>
      <c r="B180" s="3" t="s">
        <v>370</v>
      </c>
      <c r="C180" s="3" t="s">
        <v>179</v>
      </c>
      <c r="D180" s="3" t="s">
        <v>402</v>
      </c>
      <c r="E180" s="3" t="s">
        <v>381</v>
      </c>
      <c r="F180" s="3" t="str">
        <f>IF(ISNA(VLOOKUP(テーブル1[[#This Row],[内容]],ポケモンマスタ!A:A,1,FALSE)),"error","ok")</f>
        <v>ok</v>
      </c>
      <c r="G180" s="3" t="s">
        <v>370</v>
      </c>
    </row>
    <row r="181" spans="1:7">
      <c r="A181" s="3">
        <v>180</v>
      </c>
      <c r="B181" s="3" t="s">
        <v>370</v>
      </c>
      <c r="C181" s="3" t="s">
        <v>177</v>
      </c>
      <c r="D181" s="3" t="s">
        <v>402</v>
      </c>
      <c r="E181" s="3" t="s">
        <v>381</v>
      </c>
      <c r="F181" s="3" t="str">
        <f>IF(ISNA(VLOOKUP(テーブル1[[#This Row],[内容]],ポケモンマスタ!A:A,1,FALSE)),"error","ok")</f>
        <v>ok</v>
      </c>
      <c r="G181" s="3" t="s">
        <v>370</v>
      </c>
    </row>
    <row r="182" spans="1:7">
      <c r="A182" s="3">
        <v>181</v>
      </c>
      <c r="B182" s="3" t="s">
        <v>370</v>
      </c>
      <c r="C182" s="3" t="s">
        <v>382</v>
      </c>
      <c r="D182" s="3" t="s">
        <v>402</v>
      </c>
      <c r="E182" s="3" t="s">
        <v>385</v>
      </c>
      <c r="F182" s="3" t="str">
        <f>IF(ISNA(VLOOKUP(テーブル1[[#This Row],[内容]],ポケモンマスタ!A:A,1,FALSE)),"error","ok")</f>
        <v>ok</v>
      </c>
      <c r="G182" s="3" t="s">
        <v>370</v>
      </c>
    </row>
    <row r="183" spans="1:7">
      <c r="A183" s="3">
        <v>182</v>
      </c>
      <c r="B183" s="3" t="s">
        <v>370</v>
      </c>
      <c r="C183" s="3" t="s">
        <v>383</v>
      </c>
      <c r="D183" s="3" t="s">
        <v>402</v>
      </c>
      <c r="E183" s="3" t="s">
        <v>384</v>
      </c>
      <c r="F183" s="3" t="str">
        <f>IF(ISNA(VLOOKUP(テーブル1[[#This Row],[内容]],ポケモンマスタ!A:A,1,FALSE)),"error","ok")</f>
        <v>ok</v>
      </c>
      <c r="G183" s="3" t="s">
        <v>370</v>
      </c>
    </row>
    <row r="184" spans="1:7">
      <c r="A184" s="3">
        <v>183</v>
      </c>
      <c r="B184" s="3" t="s">
        <v>370</v>
      </c>
      <c r="C184" s="3" t="s">
        <v>81</v>
      </c>
      <c r="D184" s="3" t="s">
        <v>402</v>
      </c>
      <c r="F184" s="3" t="str">
        <f>IF(ISNA(VLOOKUP(テーブル1[[#This Row],[内容]],ポケモンマスタ!A:A,1,FALSE)),"error","ok")</f>
        <v>ok</v>
      </c>
      <c r="G184" s="3" t="s">
        <v>370</v>
      </c>
    </row>
    <row r="185" spans="1:7">
      <c r="A185" s="3">
        <v>184</v>
      </c>
      <c r="B185" s="3" t="s">
        <v>386</v>
      </c>
      <c r="C185" s="3" t="s">
        <v>116</v>
      </c>
      <c r="D185" s="3" t="s">
        <v>402</v>
      </c>
      <c r="E185" s="3" t="s">
        <v>387</v>
      </c>
      <c r="F185" s="3" t="str">
        <f>IF(ISNA(VLOOKUP(テーブル1[[#This Row],[内容]],ポケモンマスタ!A:A,1,FALSE)),"error","ok")</f>
        <v>ok</v>
      </c>
      <c r="G185" s="3" t="s">
        <v>386</v>
      </c>
    </row>
    <row r="186" spans="1:7">
      <c r="A186" s="3">
        <v>185</v>
      </c>
      <c r="B186" s="3" t="s">
        <v>386</v>
      </c>
      <c r="C186" s="3" t="s">
        <v>59</v>
      </c>
      <c r="D186" s="3" t="s">
        <v>402</v>
      </c>
      <c r="E186" s="3" t="s">
        <v>387</v>
      </c>
      <c r="F186" s="3" t="str">
        <f>IF(ISNA(VLOOKUP(テーブル1[[#This Row],[内容]],ポケモンマスタ!A:A,1,FALSE)),"error","ok")</f>
        <v>ok</v>
      </c>
      <c r="G186" s="3" t="s">
        <v>386</v>
      </c>
    </row>
    <row r="187" spans="1:7">
      <c r="A187" s="3">
        <v>186</v>
      </c>
      <c r="B187" s="3" t="s">
        <v>398</v>
      </c>
      <c r="C187" s="5" t="s">
        <v>134</v>
      </c>
      <c r="D187" s="3" t="s">
        <v>400</v>
      </c>
      <c r="E187" s="3" t="s">
        <v>405</v>
      </c>
      <c r="F187" s="3" t="str">
        <f>IF(ISNA(VLOOKUP(テーブル1[[#This Row],[内容]],ポケモンマスタ!A:A,1,FALSE)),"error","ok")</f>
        <v>ok</v>
      </c>
    </row>
    <row r="188" spans="1:7">
      <c r="A188" s="3">
        <v>187</v>
      </c>
      <c r="B188" s="3" t="s">
        <v>398</v>
      </c>
      <c r="C188" s="5" t="s">
        <v>390</v>
      </c>
      <c r="D188" s="3" t="s">
        <v>400</v>
      </c>
      <c r="E188" s="3" t="s">
        <v>405</v>
      </c>
      <c r="F188" s="3" t="str">
        <f>IF(ISNA(VLOOKUP(テーブル1[[#This Row],[内容]],ポケモンマスタ!A:A,1,FALSE)),"error","ok")</f>
        <v>ok</v>
      </c>
    </row>
    <row r="189" spans="1:7">
      <c r="A189" s="3">
        <v>188</v>
      </c>
      <c r="B189" s="3" t="s">
        <v>398</v>
      </c>
      <c r="C189" s="5" t="s">
        <v>146</v>
      </c>
      <c r="D189" s="3" t="s">
        <v>400</v>
      </c>
      <c r="E189" s="3" t="s">
        <v>405</v>
      </c>
      <c r="F189" s="3" t="str">
        <f>IF(ISNA(VLOOKUP(テーブル1[[#This Row],[内容]],ポケモンマスタ!A:A,1,FALSE)),"error","ok")</f>
        <v>ok</v>
      </c>
    </row>
    <row r="190" spans="1:7">
      <c r="A190" s="3">
        <v>189</v>
      </c>
      <c r="B190" s="3" t="s">
        <v>398</v>
      </c>
      <c r="C190" s="5" t="s">
        <v>136</v>
      </c>
      <c r="D190" s="3" t="s">
        <v>400</v>
      </c>
      <c r="E190" s="3" t="s">
        <v>405</v>
      </c>
      <c r="F190" s="3" t="str">
        <f>IF(ISNA(VLOOKUP(テーブル1[[#This Row],[内容]],ポケモンマスタ!A:A,1,FALSE)),"error","ok")</f>
        <v>ok</v>
      </c>
    </row>
    <row r="191" spans="1:7">
      <c r="A191" s="3">
        <v>190</v>
      </c>
      <c r="B191" s="3" t="s">
        <v>398</v>
      </c>
      <c r="C191" s="5" t="s">
        <v>59</v>
      </c>
      <c r="D191" s="3" t="s">
        <v>400</v>
      </c>
      <c r="E191" s="3" t="s">
        <v>405</v>
      </c>
      <c r="F191" s="3" t="str">
        <f>IF(ISNA(VLOOKUP(テーブル1[[#This Row],[内容]],ポケモンマスタ!A:A,1,FALSE)),"error","ok")</f>
        <v>ok</v>
      </c>
    </row>
    <row r="192" spans="1:7">
      <c r="A192" s="3">
        <v>191</v>
      </c>
      <c r="B192" s="3" t="s">
        <v>398</v>
      </c>
      <c r="C192" s="5" t="s">
        <v>392</v>
      </c>
      <c r="D192" s="3" t="s">
        <v>400</v>
      </c>
      <c r="E192" s="3" t="s">
        <v>405</v>
      </c>
      <c r="F192" s="3" t="str">
        <f>IF(ISNA(VLOOKUP(テーブル1[[#This Row],[内容]],ポケモンマスタ!A:A,1,FALSE)),"error","ok")</f>
        <v>ok</v>
      </c>
    </row>
    <row r="193" spans="1:7">
      <c r="A193" s="3">
        <v>192</v>
      </c>
      <c r="B193" s="3" t="s">
        <v>398</v>
      </c>
      <c r="C193" s="5" t="s">
        <v>373</v>
      </c>
      <c r="D193" s="3" t="s">
        <v>400</v>
      </c>
      <c r="E193" s="3" t="s">
        <v>405</v>
      </c>
      <c r="F193" s="3" t="str">
        <f>IF(ISNA(VLOOKUP(テーブル1[[#This Row],[内容]],ポケモンマスタ!A:A,1,FALSE)),"error","ok")</f>
        <v>ok</v>
      </c>
    </row>
    <row r="194" spans="1:7">
      <c r="A194" s="3">
        <v>193</v>
      </c>
      <c r="B194" s="3" t="s">
        <v>398</v>
      </c>
      <c r="C194" s="5" t="s">
        <v>395</v>
      </c>
      <c r="D194" s="3" t="s">
        <v>400</v>
      </c>
      <c r="E194" s="3" t="s">
        <v>405</v>
      </c>
      <c r="F194" s="3" t="str">
        <f>IF(ISNA(VLOOKUP(テーブル1[[#This Row],[内容]],ポケモンマスタ!A:A,1,FALSE)),"error","ok")</f>
        <v>ok</v>
      </c>
    </row>
    <row r="195" spans="1:7">
      <c r="A195" s="3">
        <v>194</v>
      </c>
      <c r="B195" s="3" t="s">
        <v>398</v>
      </c>
      <c r="C195" s="5" t="s">
        <v>132</v>
      </c>
      <c r="D195" s="3" t="s">
        <v>400</v>
      </c>
      <c r="E195" s="3" t="s">
        <v>405</v>
      </c>
      <c r="F195" s="3" t="str">
        <f>IF(ISNA(VLOOKUP(テーブル1[[#This Row],[内容]],ポケモンマスタ!A:A,1,FALSE)),"error","ok")</f>
        <v>ok</v>
      </c>
    </row>
    <row r="196" spans="1:7">
      <c r="A196" s="3">
        <v>195</v>
      </c>
      <c r="B196" s="3" t="s">
        <v>406</v>
      </c>
      <c r="C196" s="3" t="s">
        <v>408</v>
      </c>
      <c r="D196" s="3" t="s">
        <v>404</v>
      </c>
      <c r="F196" s="3" t="str">
        <f>IF(ISNA(VLOOKUP(テーブル1[[#This Row],[内容]],ポケモンマスタ!A:A,1,FALSE)),"error","ok")</f>
        <v>ok</v>
      </c>
    </row>
    <row r="197" spans="1:7">
      <c r="A197" s="3">
        <v>196</v>
      </c>
      <c r="B197" s="3" t="s">
        <v>411</v>
      </c>
      <c r="C197" s="3" t="s">
        <v>410</v>
      </c>
      <c r="D197" s="3" t="s">
        <v>404</v>
      </c>
      <c r="F197" s="3" t="str">
        <f>IF(ISNA(VLOOKUP(テーブル1[[#This Row],[内容]],ポケモンマスタ!A:A,1,FALSE)),"error","ok")</f>
        <v>ok</v>
      </c>
    </row>
    <row r="198" spans="1:7">
      <c r="A198" s="3">
        <v>197</v>
      </c>
      <c r="B198" s="3" t="s">
        <v>412</v>
      </c>
      <c r="C198" s="3" t="s">
        <v>188</v>
      </c>
      <c r="D198" s="3" t="s">
        <v>404</v>
      </c>
      <c r="F198" s="3" t="str">
        <f>IF(ISNA(VLOOKUP(テーブル1[[#This Row],[内容]],ポケモンマスタ!A:A,1,FALSE)),"error","ok")</f>
        <v>ok</v>
      </c>
    </row>
    <row r="199" spans="1:7">
      <c r="A199" s="3">
        <v>198</v>
      </c>
      <c r="B199" s="3" t="s">
        <v>415</v>
      </c>
      <c r="C199" s="3" t="s">
        <v>414</v>
      </c>
      <c r="D199" s="3" t="s">
        <v>404</v>
      </c>
      <c r="F199" s="3" t="str">
        <f>IF(ISNA(VLOOKUP(テーブル1[[#This Row],[内容]],ポケモンマスタ!A:A,1,FALSE)),"error","ok")</f>
        <v>ok</v>
      </c>
    </row>
    <row r="200" spans="1:7">
      <c r="A200" s="3">
        <v>199</v>
      </c>
      <c r="B200" s="3" t="s">
        <v>416</v>
      </c>
      <c r="C200" s="3" t="s">
        <v>198</v>
      </c>
      <c r="D200" s="3" t="s">
        <v>404</v>
      </c>
      <c r="F200" s="3" t="str">
        <f>IF(ISNA(VLOOKUP(テーブル1[[#This Row],[内容]],ポケモンマスタ!A:A,1,FALSE)),"error","ok")</f>
        <v>ok</v>
      </c>
    </row>
    <row r="201" spans="1:7">
      <c r="A201" s="3">
        <v>200</v>
      </c>
      <c r="B201" s="3" t="s">
        <v>417</v>
      </c>
      <c r="C201" s="3" t="s">
        <v>132</v>
      </c>
      <c r="D201" s="3" t="s">
        <v>404</v>
      </c>
      <c r="F201" s="3" t="str">
        <f>IF(ISNA(VLOOKUP(テーブル1[[#This Row],[内容]],ポケモンマスタ!A:A,1,FALSE)),"error","ok")</f>
        <v>ok</v>
      </c>
    </row>
    <row r="202" spans="1:7">
      <c r="A202" s="3">
        <v>201</v>
      </c>
      <c r="B202" s="3" t="s">
        <v>418</v>
      </c>
      <c r="C202" s="3" t="s">
        <v>420</v>
      </c>
      <c r="D202" s="3" t="s">
        <v>404</v>
      </c>
      <c r="F202" s="3" t="str">
        <f>IF(ISNA(VLOOKUP(テーブル1[[#This Row],[内容]],ポケモンマスタ!A:A,1,FALSE)),"error","ok")</f>
        <v>ok</v>
      </c>
    </row>
    <row r="203" spans="1:7">
      <c r="A203" s="3">
        <v>202</v>
      </c>
      <c r="B203" s="3" t="s">
        <v>421</v>
      </c>
      <c r="C203" s="3" t="s">
        <v>146</v>
      </c>
      <c r="D203" s="3" t="s">
        <v>404</v>
      </c>
      <c r="F203" s="3" t="str">
        <f>IF(ISNA(VLOOKUP(テーブル1[[#This Row],[内容]],ポケモンマスタ!A:A,1,FALSE)),"error","ok")</f>
        <v>ok</v>
      </c>
    </row>
    <row r="204" spans="1:7">
      <c r="A204" s="3">
        <v>203</v>
      </c>
      <c r="B204" s="3" t="s">
        <v>422</v>
      </c>
      <c r="C204" s="3" t="s">
        <v>380</v>
      </c>
      <c r="D204" s="3" t="s">
        <v>404</v>
      </c>
      <c r="F204" s="3" t="str">
        <f>IF(ISNA(VLOOKUP(テーブル1[[#This Row],[内容]],ポケモンマスタ!A:A,1,FALSE)),"error","ok")</f>
        <v>ok</v>
      </c>
    </row>
    <row r="205" spans="1:7">
      <c r="A205" s="3">
        <v>204</v>
      </c>
      <c r="B205" s="3" t="s">
        <v>427</v>
      </c>
      <c r="C205" s="3" t="s">
        <v>372</v>
      </c>
      <c r="D205" s="3" t="s">
        <v>404</v>
      </c>
      <c r="F205" s="3" t="str">
        <f>IF(ISNA(VLOOKUP(テーブル1[[#This Row],[内容]],ポケモンマスタ!A:A,1,FALSE)),"error","ok")</f>
        <v>ok</v>
      </c>
      <c r="G205" s="3" t="s">
        <v>427</v>
      </c>
    </row>
    <row r="206" spans="1:7">
      <c r="A206" s="3">
        <v>205</v>
      </c>
      <c r="B206" s="3" t="s">
        <v>427</v>
      </c>
      <c r="C206" s="3" t="s">
        <v>390</v>
      </c>
      <c r="D206" s="3" t="s">
        <v>404</v>
      </c>
      <c r="F206" s="3" t="str">
        <f>IF(ISNA(VLOOKUP(テーブル1[[#This Row],[内容]],ポケモンマスタ!A:A,1,FALSE)),"error","ok")</f>
        <v>ok</v>
      </c>
      <c r="G206" s="3" t="s">
        <v>427</v>
      </c>
    </row>
    <row r="207" spans="1:7">
      <c r="A207" s="3">
        <v>206</v>
      </c>
      <c r="B207" s="3" t="s">
        <v>427</v>
      </c>
      <c r="C207" s="3" t="s">
        <v>134</v>
      </c>
      <c r="D207" s="3" t="s">
        <v>404</v>
      </c>
      <c r="F207" s="3" t="str">
        <f>IF(ISNA(VLOOKUP(テーブル1[[#This Row],[内容]],ポケモンマスタ!A:A,1,FALSE)),"error","ok")</f>
        <v>ok</v>
      </c>
      <c r="G207" s="3" t="s">
        <v>427</v>
      </c>
    </row>
    <row r="208" spans="1:7">
      <c r="A208" s="3">
        <v>207</v>
      </c>
      <c r="B208" s="3" t="s">
        <v>427</v>
      </c>
      <c r="C208" s="3" t="s">
        <v>6</v>
      </c>
      <c r="D208" s="3" t="s">
        <v>404</v>
      </c>
      <c r="F208" s="3" t="str">
        <f>IF(ISNA(VLOOKUP(テーブル1[[#This Row],[内容]],ポケモンマスタ!A:A,1,FALSE)),"error","ok")</f>
        <v>ok</v>
      </c>
      <c r="G208" s="3" t="s">
        <v>427</v>
      </c>
    </row>
    <row r="209" spans="1:7">
      <c r="A209" s="3">
        <v>208</v>
      </c>
      <c r="B209" s="3" t="s">
        <v>427</v>
      </c>
      <c r="C209" s="3" t="s">
        <v>426</v>
      </c>
      <c r="D209" s="3" t="s">
        <v>404</v>
      </c>
      <c r="F209" s="3" t="str">
        <f>IF(ISNA(VLOOKUP(テーブル1[[#This Row],[内容]],ポケモンマスタ!A:A,1,FALSE)),"error","ok")</f>
        <v>ok</v>
      </c>
      <c r="G209" s="3" t="s">
        <v>427</v>
      </c>
    </row>
    <row r="210" spans="1:7">
      <c r="A210" s="3">
        <v>209</v>
      </c>
      <c r="B210" s="3" t="s">
        <v>427</v>
      </c>
      <c r="C210" s="3" t="s">
        <v>23</v>
      </c>
      <c r="D210" s="3" t="s">
        <v>404</v>
      </c>
      <c r="F210" s="3" t="str">
        <f>IF(ISNA(VLOOKUP(テーブル1[[#This Row],[内容]],ポケモンマスタ!A:A,1,FALSE)),"error","ok")</f>
        <v>ok</v>
      </c>
      <c r="G210" s="3" t="s">
        <v>427</v>
      </c>
    </row>
    <row r="211" spans="1:7">
      <c r="A211" s="3">
        <v>210</v>
      </c>
      <c r="B211" s="3" t="s">
        <v>427</v>
      </c>
      <c r="C211" s="3" t="s">
        <v>122</v>
      </c>
      <c r="D211" s="3" t="s">
        <v>404</v>
      </c>
      <c r="F211" s="3" t="str">
        <f>IF(ISNA(VLOOKUP(テーブル1[[#This Row],[内容]],ポケモンマスタ!A:A,1,FALSE)),"error","ok")</f>
        <v>ok</v>
      </c>
      <c r="G211" s="3" t="s">
        <v>427</v>
      </c>
    </row>
    <row r="212" spans="1:7">
      <c r="A212" s="3">
        <v>211</v>
      </c>
      <c r="B212" s="3" t="s">
        <v>428</v>
      </c>
      <c r="C212" s="3" t="s">
        <v>272</v>
      </c>
      <c r="D212" s="3" t="s">
        <v>404</v>
      </c>
      <c r="F212" s="3" t="str">
        <f>IF(ISNA(VLOOKUP(テーブル1[[#This Row],[内容]],ポケモンマスタ!A:A,1,FALSE)),"error","ok")</f>
        <v>ok</v>
      </c>
      <c r="G212" s="3" t="s">
        <v>428</v>
      </c>
    </row>
    <row r="213" spans="1:7">
      <c r="A213" s="3">
        <v>212</v>
      </c>
      <c r="B213" s="3" t="s">
        <v>428</v>
      </c>
      <c r="C213" s="3" t="s">
        <v>188</v>
      </c>
      <c r="D213" s="3" t="s">
        <v>404</v>
      </c>
      <c r="F213" s="3" t="str">
        <f>IF(ISNA(VLOOKUP(テーブル1[[#This Row],[内容]],ポケモンマスタ!A:A,1,FALSE)),"error","ok")</f>
        <v>ok</v>
      </c>
      <c r="G213" s="3" t="s">
        <v>428</v>
      </c>
    </row>
    <row r="214" spans="1:7">
      <c r="A214" s="3">
        <v>213</v>
      </c>
      <c r="B214" s="3" t="s">
        <v>429</v>
      </c>
      <c r="C214" s="3" t="s">
        <v>431</v>
      </c>
      <c r="D214" s="3" t="s">
        <v>404</v>
      </c>
      <c r="E214" s="3" t="s">
        <v>432</v>
      </c>
      <c r="F214" s="3" t="str">
        <f>IF(ISNA(VLOOKUP(テーブル1[[#This Row],[内容]],ポケモンマスタ!A:A,1,FALSE)),"error","ok")</f>
        <v>ok</v>
      </c>
    </row>
    <row r="215" spans="1:7">
      <c r="A215" s="3">
        <v>214</v>
      </c>
      <c r="B215" s="3" t="s">
        <v>433</v>
      </c>
      <c r="C215" s="3" t="s">
        <v>118</v>
      </c>
      <c r="D215" s="3" t="s">
        <v>404</v>
      </c>
      <c r="F215" s="3" t="str">
        <f>IF(ISNA(VLOOKUP(テーブル1[[#This Row],[内容]],ポケモンマスタ!A:A,1,FALSE)),"error","ok")</f>
        <v>ok</v>
      </c>
    </row>
    <row r="216" spans="1:7">
      <c r="A216" s="3">
        <v>215</v>
      </c>
      <c r="B216" s="3" t="s">
        <v>436</v>
      </c>
      <c r="C216" s="3" t="s">
        <v>435</v>
      </c>
      <c r="D216" s="3" t="s">
        <v>404</v>
      </c>
      <c r="F216" s="3" t="str">
        <f>IF(ISNA(VLOOKUP(テーブル1[[#This Row],[内容]],ポケモンマスタ!A:A,1,FALSE)),"error","ok")</f>
        <v>ok</v>
      </c>
    </row>
    <row r="217" spans="1:7">
      <c r="A217" s="3">
        <v>216</v>
      </c>
      <c r="B217" s="3" t="s">
        <v>437</v>
      </c>
      <c r="C217" s="3" t="s">
        <v>439</v>
      </c>
      <c r="D217" s="3" t="s">
        <v>404</v>
      </c>
      <c r="F217" s="3" t="str">
        <f>IF(ISNA(VLOOKUP(テーブル1[[#This Row],[内容]],ポケモンマスタ!A:A,1,FALSE)),"error","ok")</f>
        <v>ok</v>
      </c>
    </row>
    <row r="218" spans="1:7">
      <c r="A218" s="3">
        <v>217</v>
      </c>
      <c r="B218" s="3" t="s">
        <v>440</v>
      </c>
      <c r="C218" s="3" t="s">
        <v>149</v>
      </c>
      <c r="D218" s="3" t="s">
        <v>404</v>
      </c>
      <c r="F218" s="3" t="str">
        <f>IF(ISNA(VLOOKUP(テーブル1[[#This Row],[内容]],ポケモンマスタ!A:A,1,FALSE)),"error","ok")</f>
        <v>ok</v>
      </c>
    </row>
    <row r="219" spans="1:7">
      <c r="A219" s="3">
        <v>218</v>
      </c>
      <c r="B219" s="3" t="s">
        <v>441</v>
      </c>
      <c r="C219" s="3" t="s">
        <v>207</v>
      </c>
      <c r="D219" s="3" t="s">
        <v>404</v>
      </c>
      <c r="F219" s="3" t="str">
        <f>IF(ISNA(VLOOKUP(テーブル1[[#This Row],[内容]],ポケモンマスタ!A:A,1,FALSE)),"error","ok")</f>
        <v>ok</v>
      </c>
    </row>
    <row r="220" spans="1:7">
      <c r="A220" s="3">
        <v>219</v>
      </c>
      <c r="B220" s="3" t="s">
        <v>444</v>
      </c>
      <c r="C220" s="3" t="s">
        <v>443</v>
      </c>
      <c r="D220" s="3" t="s">
        <v>404</v>
      </c>
      <c r="F220" s="3" t="str">
        <f>IF(ISNA(VLOOKUP(テーブル1[[#This Row],[内容]],ポケモンマスタ!A:A,1,FALSE)),"error","ok")</f>
        <v>ok</v>
      </c>
    </row>
    <row r="221" spans="1:7">
      <c r="A221" s="3">
        <v>220</v>
      </c>
      <c r="B221" s="3" t="s">
        <v>445</v>
      </c>
      <c r="C221" s="3" t="s">
        <v>132</v>
      </c>
      <c r="D221" s="3" t="s">
        <v>404</v>
      </c>
      <c r="F221" s="3" t="str">
        <f>IF(ISNA(VLOOKUP(テーブル1[[#This Row],[内容]],ポケモンマスタ!A:A,1,FALSE)),"error","ok")</f>
        <v>ok</v>
      </c>
      <c r="G221" s="3" t="s">
        <v>445</v>
      </c>
    </row>
    <row r="222" spans="1:7">
      <c r="A222" s="3">
        <v>221</v>
      </c>
      <c r="B222" s="3" t="s">
        <v>445</v>
      </c>
      <c r="C222" s="3" t="s">
        <v>39</v>
      </c>
      <c r="D222" s="3" t="s">
        <v>404</v>
      </c>
      <c r="F222" s="3" t="str">
        <f>IF(ISNA(VLOOKUP(テーブル1[[#This Row],[内容]],ポケモンマスタ!A:A,1,FALSE)),"error","ok")</f>
        <v>ok</v>
      </c>
      <c r="G222" s="3" t="s">
        <v>445</v>
      </c>
    </row>
    <row r="223" spans="1:7">
      <c r="A223" s="3">
        <v>222</v>
      </c>
      <c r="B223" s="3" t="s">
        <v>445</v>
      </c>
      <c r="C223" s="3" t="s">
        <v>447</v>
      </c>
      <c r="D223" s="3" t="s">
        <v>404</v>
      </c>
      <c r="F223" s="3" t="str">
        <f>IF(ISNA(VLOOKUP(テーブル1[[#This Row],[内容]],ポケモンマスタ!A:A,1,FALSE)),"error","ok")</f>
        <v>ok</v>
      </c>
      <c r="G223" s="3" t="s">
        <v>445</v>
      </c>
    </row>
    <row r="224" spans="1:7">
      <c r="A224" s="3">
        <v>223</v>
      </c>
      <c r="B224" s="3" t="s">
        <v>448</v>
      </c>
      <c r="D224" s="3" t="s">
        <v>404</v>
      </c>
      <c r="E224" s="3" t="s">
        <v>449</v>
      </c>
      <c r="F224" s="3" t="str">
        <f>IF(ISNA(VLOOKUP(テーブル1[[#This Row],[内容]],ポケモンマスタ!A:A,1,FALSE)),"error","ok")</f>
        <v>error</v>
      </c>
    </row>
    <row r="225" spans="1:7">
      <c r="A225" s="3">
        <v>224</v>
      </c>
      <c r="B225" s="3" t="s">
        <v>450</v>
      </c>
      <c r="C225" s="3" t="s">
        <v>373</v>
      </c>
      <c r="D225" s="3" t="s">
        <v>404</v>
      </c>
      <c r="F225" s="3" t="str">
        <f>IF(ISNA(VLOOKUP(テーブル1[[#This Row],[内容]],ポケモンマスタ!A:A,1,FALSE)),"error","ok")</f>
        <v>ok</v>
      </c>
      <c r="G225" s="3" t="s">
        <v>450</v>
      </c>
    </row>
    <row r="226" spans="1:7">
      <c r="A226" s="3">
        <v>225</v>
      </c>
      <c r="B226" s="3" t="s">
        <v>450</v>
      </c>
      <c r="C226" s="3" t="s">
        <v>211</v>
      </c>
      <c r="D226" s="3" t="s">
        <v>404</v>
      </c>
      <c r="F226" s="3" t="str">
        <f>IF(ISNA(VLOOKUP(テーブル1[[#This Row],[内容]],ポケモンマスタ!A:A,1,FALSE)),"error","ok")</f>
        <v>ok</v>
      </c>
      <c r="G226" s="3" t="s">
        <v>450</v>
      </c>
    </row>
    <row r="227" spans="1:7">
      <c r="A227" s="3">
        <v>226</v>
      </c>
      <c r="B227" s="3" t="s">
        <v>451</v>
      </c>
      <c r="C227" s="3" t="s">
        <v>59</v>
      </c>
      <c r="D227" s="3" t="s">
        <v>404</v>
      </c>
      <c r="F227" s="3" t="str">
        <f>IF(ISNA(VLOOKUP(テーブル1[[#This Row],[内容]],ポケモンマスタ!A:A,1,FALSE)),"error","ok")</f>
        <v>ok</v>
      </c>
    </row>
    <row r="228" spans="1:7">
      <c r="A228" s="3">
        <v>227</v>
      </c>
      <c r="B228" s="3" t="s">
        <v>452</v>
      </c>
      <c r="C228" s="3" t="s">
        <v>454</v>
      </c>
      <c r="D228" s="3" t="s">
        <v>404</v>
      </c>
      <c r="F228" s="3" t="str">
        <f>IF(ISNA(VLOOKUP(テーブル1[[#This Row],[内容]],ポケモンマスタ!A:A,1,FALSE)),"error","ok")</f>
        <v>ok</v>
      </c>
    </row>
    <row r="229" spans="1:7">
      <c r="A229" s="3">
        <v>228</v>
      </c>
      <c r="B229" s="3" t="s">
        <v>455</v>
      </c>
      <c r="C229" s="3" t="s">
        <v>211</v>
      </c>
      <c r="D229" s="3" t="s">
        <v>404</v>
      </c>
      <c r="F229" s="3" t="str">
        <f>IF(ISNA(VLOOKUP(テーブル1[[#This Row],[内容]],ポケモンマスタ!A:A,1,FALSE)),"error","ok")</f>
        <v>ok</v>
      </c>
    </row>
    <row r="230" spans="1:7">
      <c r="A230" s="3">
        <v>229</v>
      </c>
      <c r="B230" s="3" t="s">
        <v>456</v>
      </c>
      <c r="C230" s="3" t="s">
        <v>458</v>
      </c>
      <c r="D230" s="3" t="s">
        <v>404</v>
      </c>
      <c r="F230" s="3" t="str">
        <f>IF(ISNA(VLOOKUP(テーブル1[[#This Row],[内容]],ポケモンマスタ!A:A,1,FALSE)),"error","ok")</f>
        <v>ok</v>
      </c>
    </row>
    <row r="231" spans="1:7">
      <c r="A231" s="3">
        <v>230</v>
      </c>
      <c r="B231" s="3" t="s">
        <v>459</v>
      </c>
      <c r="C231" s="3" t="s">
        <v>458</v>
      </c>
      <c r="D231" s="3" t="s">
        <v>404</v>
      </c>
      <c r="F231" s="3" t="str">
        <f>IF(ISNA(VLOOKUP(テーブル1[[#This Row],[内容]],ポケモンマスタ!A:A,1,FALSE)),"error","ok")</f>
        <v>ok</v>
      </c>
    </row>
    <row r="232" spans="1:7">
      <c r="A232" s="3">
        <v>231</v>
      </c>
      <c r="B232" s="3" t="s">
        <v>460</v>
      </c>
      <c r="C232" s="3" t="s">
        <v>81</v>
      </c>
      <c r="D232" s="3" t="s">
        <v>404</v>
      </c>
      <c r="E232" s="3" t="s">
        <v>461</v>
      </c>
      <c r="F232" s="3" t="str">
        <f>IF(ISNA(VLOOKUP(テーブル1[[#This Row],[内容]],ポケモンマスタ!A:A,1,FALSE)),"error","ok")</f>
        <v>ok</v>
      </c>
    </row>
    <row r="233" spans="1:7">
      <c r="A233" s="3">
        <v>232</v>
      </c>
      <c r="B233" s="3" t="s">
        <v>484</v>
      </c>
      <c r="C233" s="3" t="s">
        <v>486</v>
      </c>
      <c r="D233" s="3" t="s">
        <v>404</v>
      </c>
      <c r="F233" s="3" t="str">
        <f>IF(ISNA(VLOOKUP(テーブル1[[#This Row],[内容]],ポケモンマスタ!A:A,1,FALSE)),"error","ok")</f>
        <v>ok</v>
      </c>
    </row>
    <row r="234" spans="1:7">
      <c r="A234" s="3">
        <v>233</v>
      </c>
      <c r="B234" s="3" t="s">
        <v>489</v>
      </c>
      <c r="C234" s="3" t="s">
        <v>488</v>
      </c>
      <c r="D234" s="3" t="s">
        <v>404</v>
      </c>
      <c r="F234" s="3" t="str">
        <f>IF(ISNA(VLOOKUP(テーブル1[[#This Row],[内容]],ポケモンマスタ!A:A,1,FALSE)),"error","ok")</f>
        <v>ok</v>
      </c>
    </row>
    <row r="235" spans="1:7">
      <c r="A235" s="3">
        <v>234</v>
      </c>
      <c r="B235" s="3" t="s">
        <v>490</v>
      </c>
      <c r="C235" s="3" t="s">
        <v>47</v>
      </c>
      <c r="D235" s="3" t="s">
        <v>404</v>
      </c>
      <c r="F235" s="3" t="str">
        <f>IF(ISNA(VLOOKUP(テーブル1[[#This Row],[内容]],ポケモンマスタ!A:A,1,FALSE)),"error","ok")</f>
        <v>ok</v>
      </c>
    </row>
    <row r="236" spans="1:7">
      <c r="A236" s="3">
        <v>235</v>
      </c>
      <c r="B236" s="3" t="s">
        <v>493</v>
      </c>
      <c r="C236" s="3" t="s">
        <v>492</v>
      </c>
      <c r="D236" s="3" t="s">
        <v>404</v>
      </c>
      <c r="F236" s="3" t="str">
        <f>IF(ISNA(VLOOKUP(テーブル1[[#This Row],[内容]],ポケモンマスタ!A:A,1,FALSE)),"error","ok")</f>
        <v>ok</v>
      </c>
    </row>
    <row r="237" spans="1:7">
      <c r="A237" s="3">
        <v>236</v>
      </c>
      <c r="B237" s="3" t="s">
        <v>520</v>
      </c>
      <c r="C237" s="3" t="s">
        <v>272</v>
      </c>
      <c r="D237" s="3" t="s">
        <v>404</v>
      </c>
      <c r="F237" s="3" t="str">
        <f>IF(ISNA(VLOOKUP(テーブル1[[#This Row],[内容]],ポケモンマスタ!A:A,1,FALSE)),"error","ok")</f>
        <v>ok</v>
      </c>
    </row>
    <row r="238" spans="1:7">
      <c r="A238" s="3">
        <v>237</v>
      </c>
      <c r="B238" s="3" t="s">
        <v>521</v>
      </c>
      <c r="C238" s="3" t="s">
        <v>352</v>
      </c>
      <c r="D238" s="3" t="s">
        <v>404</v>
      </c>
      <c r="F238" s="3" t="str">
        <f>IF(ISNA(VLOOKUP(テーブル1[[#This Row],[内容]],ポケモンマスタ!A:A,1,FALSE)),"error","ok")</f>
        <v>ok</v>
      </c>
    </row>
    <row r="239" spans="1:7">
      <c r="A239" s="3">
        <v>238</v>
      </c>
      <c r="B239" s="3" t="s">
        <v>523</v>
      </c>
      <c r="C239" s="3" t="s">
        <v>522</v>
      </c>
      <c r="D239" s="3" t="s">
        <v>404</v>
      </c>
      <c r="F239" s="3" t="str">
        <f>IF(ISNA(VLOOKUP(テーブル1[[#This Row],[内容]],ポケモンマスタ!A:A,1,FALSE)),"error","ok")</f>
        <v>ok</v>
      </c>
    </row>
    <row r="240" spans="1:7">
      <c r="A240" s="3">
        <v>239</v>
      </c>
      <c r="B240" s="3" t="s">
        <v>524</v>
      </c>
      <c r="C240" s="3" t="s">
        <v>118</v>
      </c>
      <c r="D240" s="3" t="s">
        <v>404</v>
      </c>
      <c r="F240" s="3" t="str">
        <f>IF(ISNA(VLOOKUP(テーブル1[[#This Row],[内容]],ポケモンマスタ!A:A,1,FALSE)),"error","ok")</f>
        <v>ok</v>
      </c>
    </row>
    <row r="241" spans="1:7">
      <c r="A241" s="3">
        <v>240</v>
      </c>
      <c r="B241" s="3" t="s">
        <v>526</v>
      </c>
      <c r="C241" s="3" t="s">
        <v>525</v>
      </c>
      <c r="D241" s="3" t="s">
        <v>404</v>
      </c>
      <c r="E241" s="3" t="s">
        <v>527</v>
      </c>
      <c r="F241" s="3" t="str">
        <f>IF(ISNA(VLOOKUP(テーブル1[[#This Row],[内容]],ポケモンマスタ!A:A,1,FALSE)),"error","ok")</f>
        <v>ok</v>
      </c>
    </row>
    <row r="242" spans="1:7">
      <c r="A242" s="3">
        <v>241</v>
      </c>
      <c r="B242" s="3" t="s">
        <v>528</v>
      </c>
      <c r="C242" s="3" t="s">
        <v>372</v>
      </c>
      <c r="D242" s="3" t="s">
        <v>404</v>
      </c>
      <c r="F242" s="3" t="str">
        <f>IF(ISNA(VLOOKUP(テーブル1[[#This Row],[内容]],ポケモンマスタ!A:A,1,FALSE)),"error","ok")</f>
        <v>ok</v>
      </c>
    </row>
    <row r="243" spans="1:7">
      <c r="A243" s="3">
        <v>242</v>
      </c>
      <c r="B243" s="3" t="s">
        <v>529</v>
      </c>
      <c r="C243" s="3" t="s">
        <v>431</v>
      </c>
      <c r="D243" s="3" t="s">
        <v>404</v>
      </c>
      <c r="F243" s="3" t="str">
        <f>IF(ISNA(VLOOKUP(テーブル1[[#This Row],[内容]],ポケモンマスタ!A:A,1,FALSE)),"error","ok")</f>
        <v>ok</v>
      </c>
    </row>
    <row r="244" spans="1:7">
      <c r="A244" s="3">
        <v>243</v>
      </c>
      <c r="B244" s="3" t="s">
        <v>530</v>
      </c>
      <c r="C244" s="3" t="s">
        <v>59</v>
      </c>
      <c r="D244" s="3" t="s">
        <v>404</v>
      </c>
      <c r="F244" s="3" t="str">
        <f>IF(ISNA(VLOOKUP(テーブル1[[#This Row],[内容]],ポケモンマスタ!A:A,1,FALSE)),"error","ok")</f>
        <v>ok</v>
      </c>
    </row>
    <row r="245" spans="1:7">
      <c r="A245" s="3">
        <v>244</v>
      </c>
      <c r="B245" s="3" t="s">
        <v>531</v>
      </c>
      <c r="C245" s="3" t="s">
        <v>188</v>
      </c>
      <c r="D245" s="3" t="s">
        <v>404</v>
      </c>
      <c r="F245" s="3" t="str">
        <f>IF(ISNA(VLOOKUP(テーブル1[[#This Row],[内容]],ポケモンマスタ!A:A,1,FALSE)),"error","ok")</f>
        <v>ok</v>
      </c>
    </row>
    <row r="246" spans="1:7">
      <c r="A246" s="3">
        <v>245</v>
      </c>
      <c r="B246" s="3" t="s">
        <v>532</v>
      </c>
      <c r="D246" s="3" t="s">
        <v>404</v>
      </c>
      <c r="E246" s="3" t="s">
        <v>533</v>
      </c>
      <c r="F246" s="3" t="str">
        <f>IF(ISNA(VLOOKUP(テーブル1[[#This Row],[内容]],ポケモンマスタ!A:A,1,FALSE)),"error","ok")</f>
        <v>error</v>
      </c>
    </row>
    <row r="247" spans="1:7">
      <c r="A247" s="3">
        <v>246</v>
      </c>
      <c r="B247" s="3" t="s">
        <v>534</v>
      </c>
      <c r="C247" s="3" t="s">
        <v>535</v>
      </c>
      <c r="D247" s="3" t="s">
        <v>404</v>
      </c>
      <c r="F247" s="3" t="str">
        <f>IF(ISNA(VLOOKUP(テーブル1[[#This Row],[内容]],ポケモンマスタ!A:A,1,FALSE)),"error","ok")</f>
        <v>ok</v>
      </c>
    </row>
    <row r="248" spans="1:7">
      <c r="A248" s="3">
        <v>247</v>
      </c>
      <c r="B248" s="3" t="s">
        <v>537</v>
      </c>
      <c r="C248" s="3" t="s">
        <v>134</v>
      </c>
      <c r="D248" s="3" t="s">
        <v>404</v>
      </c>
      <c r="F248" s="3" t="str">
        <f>IF(ISNA(VLOOKUP(テーブル1[[#This Row],[内容]],ポケモンマスタ!A:A,1,FALSE)),"error","ok")</f>
        <v>ok</v>
      </c>
      <c r="G248" s="3" t="s">
        <v>537</v>
      </c>
    </row>
    <row r="249" spans="1:7">
      <c r="A249" s="3">
        <v>248</v>
      </c>
      <c r="B249" s="3" t="s">
        <v>537</v>
      </c>
      <c r="C249" s="3" t="s">
        <v>536</v>
      </c>
      <c r="D249" s="3" t="s">
        <v>404</v>
      </c>
      <c r="F249" s="3" t="str">
        <f>IF(ISNA(VLOOKUP(テーブル1[[#This Row],[内容]],ポケモンマスタ!A:A,1,FALSE)),"error","ok")</f>
        <v>ok</v>
      </c>
      <c r="G249" s="3" t="s">
        <v>537</v>
      </c>
    </row>
    <row r="250" spans="1:7">
      <c r="A250" s="3">
        <v>249</v>
      </c>
      <c r="B250" s="3" t="s">
        <v>537</v>
      </c>
      <c r="C250" s="3" t="s">
        <v>132</v>
      </c>
      <c r="D250" s="3" t="s">
        <v>404</v>
      </c>
      <c r="F250" s="3" t="str">
        <f>IF(ISNA(VLOOKUP(テーブル1[[#This Row],[内容]],ポケモンマスタ!A:A,1,FALSE)),"error","ok")</f>
        <v>ok</v>
      </c>
      <c r="G250" s="3" t="s">
        <v>537</v>
      </c>
    </row>
    <row r="251" spans="1:7">
      <c r="A251" s="3">
        <v>250</v>
      </c>
      <c r="B251" s="3" t="s">
        <v>598</v>
      </c>
      <c r="C251" s="3" t="s">
        <v>597</v>
      </c>
      <c r="D251" s="3" t="s">
        <v>404</v>
      </c>
      <c r="F251" s="3" t="str">
        <f>IF(ISNA(VLOOKUP(テーブル1[[#This Row],[内容]],ポケモンマスタ!A:A,1,FALSE)),"error","ok")</f>
        <v>ok</v>
      </c>
    </row>
    <row r="252" spans="1:7">
      <c r="A252" s="3">
        <v>251</v>
      </c>
      <c r="B252" s="3" t="s">
        <v>599</v>
      </c>
      <c r="C252" s="3" t="s">
        <v>34</v>
      </c>
      <c r="D252" s="3" t="s">
        <v>404</v>
      </c>
      <c r="F252" s="3" t="str">
        <f>IF(ISNA(VLOOKUP(テーブル1[[#This Row],[内容]],ポケモンマスタ!A:A,1,FALSE)),"error","ok")</f>
        <v>ok</v>
      </c>
      <c r="G252" s="3" t="s">
        <v>599</v>
      </c>
    </row>
    <row r="253" spans="1:7">
      <c r="A253" s="3">
        <v>252</v>
      </c>
      <c r="B253" s="3" t="s">
        <v>599</v>
      </c>
      <c r="C253" s="3" t="s">
        <v>600</v>
      </c>
      <c r="D253" s="3" t="s">
        <v>404</v>
      </c>
      <c r="F253" s="3" t="str">
        <f>IF(ISNA(VLOOKUP(テーブル1[[#This Row],[内容]],ポケモンマスタ!A:A,1,FALSE)),"error","ok")</f>
        <v>ok</v>
      </c>
      <c r="G253" s="3" t="s">
        <v>599</v>
      </c>
    </row>
    <row r="254" spans="1:7">
      <c r="A254" s="3">
        <v>253</v>
      </c>
      <c r="B254" s="3" t="s">
        <v>599</v>
      </c>
      <c r="C254" s="3" t="s">
        <v>122</v>
      </c>
      <c r="D254" s="3" t="s">
        <v>404</v>
      </c>
      <c r="F254" s="3" t="str">
        <f>IF(ISNA(VLOOKUP(テーブル1[[#This Row],[内容]],ポケモンマスタ!A:A,1,FALSE)),"error","ok")</f>
        <v>ok</v>
      </c>
      <c r="G254" s="3" t="s">
        <v>599</v>
      </c>
    </row>
    <row r="255" spans="1:7">
      <c r="A255" s="3">
        <v>254</v>
      </c>
      <c r="B255" s="3" t="s">
        <v>601</v>
      </c>
      <c r="C255" s="3" t="s">
        <v>602</v>
      </c>
      <c r="D255" s="3" t="s">
        <v>404</v>
      </c>
      <c r="E255" s="3" t="s">
        <v>603</v>
      </c>
      <c r="F255" s="3" t="str">
        <f>IF(ISNA(VLOOKUP(テーブル1[[#This Row],[内容]],ポケモンマスタ!A:A,1,FALSE)),"error","ok")</f>
        <v>ok</v>
      </c>
    </row>
    <row r="256" spans="1:7">
      <c r="A256" s="3">
        <v>255</v>
      </c>
      <c r="B256" s="3" t="s">
        <v>604</v>
      </c>
      <c r="C256" s="3" t="s">
        <v>179</v>
      </c>
      <c r="D256" s="3" t="s">
        <v>404</v>
      </c>
      <c r="F256" s="3" t="str">
        <f>IF(ISNA(VLOOKUP(テーブル1[[#This Row],[内容]],ポケモンマスタ!A:A,1,FALSE)),"error","ok")</f>
        <v>ok</v>
      </c>
    </row>
    <row r="257" spans="1:7">
      <c r="A257" s="3">
        <v>256</v>
      </c>
      <c r="B257" s="3" t="s">
        <v>605</v>
      </c>
      <c r="C257" s="3" t="s">
        <v>188</v>
      </c>
      <c r="D257" s="3" t="s">
        <v>404</v>
      </c>
      <c r="F257" s="3" t="str">
        <f>IF(ISNA(VLOOKUP(テーブル1[[#This Row],[内容]],ポケモンマスタ!A:A,1,FALSE)),"error","ok")</f>
        <v>ok</v>
      </c>
    </row>
    <row r="258" spans="1:7">
      <c r="A258" s="3">
        <v>257</v>
      </c>
      <c r="B258" s="3" t="s">
        <v>607</v>
      </c>
      <c r="C258" s="3" t="s">
        <v>606</v>
      </c>
      <c r="D258" s="3" t="s">
        <v>404</v>
      </c>
      <c r="F258" s="3" t="str">
        <f>IF(ISNA(VLOOKUP(テーブル1[[#This Row],[内容]],ポケモンマスタ!A:A,1,FALSE)),"error","ok")</f>
        <v>ok</v>
      </c>
    </row>
    <row r="259" spans="1:7">
      <c r="A259" s="3">
        <v>258</v>
      </c>
      <c r="B259" s="3" t="s">
        <v>608</v>
      </c>
      <c r="C259" s="3" t="s">
        <v>609</v>
      </c>
      <c r="D259" s="3" t="s">
        <v>404</v>
      </c>
      <c r="F259" s="3" t="str">
        <f>IF(ISNA(VLOOKUP(テーブル1[[#This Row],[内容]],ポケモンマスタ!A:A,1,FALSE)),"error","ok")</f>
        <v>ok</v>
      </c>
    </row>
    <row r="260" spans="1:7">
      <c r="A260" s="3">
        <v>259</v>
      </c>
      <c r="B260" s="3" t="s">
        <v>611</v>
      </c>
      <c r="C260" s="3" t="s">
        <v>610</v>
      </c>
      <c r="D260" s="3" t="s">
        <v>404</v>
      </c>
      <c r="F260" s="3" t="str">
        <f>IF(ISNA(VLOOKUP(テーブル1[[#This Row],[内容]],ポケモンマスタ!A:A,1,FALSE)),"error","ok")</f>
        <v>ok</v>
      </c>
    </row>
    <row r="261" spans="1:7">
      <c r="A261" s="3">
        <v>260</v>
      </c>
      <c r="B261" s="3" t="s">
        <v>612</v>
      </c>
      <c r="C261" s="3" t="s">
        <v>613</v>
      </c>
      <c r="D261" s="3" t="s">
        <v>404</v>
      </c>
      <c r="F261" s="3" t="str">
        <f>IF(ISNA(VLOOKUP(テーブル1[[#This Row],[内容]],ポケモンマスタ!A:A,1,FALSE)),"error","ok")</f>
        <v>ok</v>
      </c>
    </row>
    <row r="262" spans="1:7">
      <c r="A262" s="3">
        <v>261</v>
      </c>
      <c r="B262" s="3" t="s">
        <v>614</v>
      </c>
      <c r="C262" s="3" t="s">
        <v>313</v>
      </c>
      <c r="D262" s="3" t="s">
        <v>404</v>
      </c>
      <c r="F262" s="3" t="str">
        <f>IF(ISNA(VLOOKUP(テーブル1[[#This Row],[内容]],ポケモンマスタ!A:A,1,FALSE)),"error","ok")</f>
        <v>ok</v>
      </c>
    </row>
    <row r="263" spans="1:7">
      <c r="A263" s="3">
        <v>262</v>
      </c>
      <c r="B263" s="3" t="s">
        <v>615</v>
      </c>
      <c r="C263" s="3" t="s">
        <v>179</v>
      </c>
      <c r="D263" s="3" t="s">
        <v>404</v>
      </c>
      <c r="F263" s="3" t="str">
        <f>IF(ISNA(VLOOKUP(テーブル1[[#This Row],[内容]],ポケモンマスタ!A:A,1,FALSE)),"error","ok")</f>
        <v>ok</v>
      </c>
      <c r="G263" s="3" t="s">
        <v>615</v>
      </c>
    </row>
    <row r="264" spans="1:7">
      <c r="A264" s="3">
        <v>263</v>
      </c>
      <c r="B264" s="3" t="s">
        <v>615</v>
      </c>
      <c r="C264" s="3" t="s">
        <v>616</v>
      </c>
      <c r="D264" s="3" t="s">
        <v>404</v>
      </c>
      <c r="F264" s="3" t="str">
        <f>IF(ISNA(VLOOKUP(テーブル1[[#This Row],[内容]],ポケモンマスタ!A:A,1,FALSE)),"error","ok")</f>
        <v>ok</v>
      </c>
      <c r="G264" s="3" t="s">
        <v>615</v>
      </c>
    </row>
    <row r="265" spans="1:7">
      <c r="A265" s="3">
        <v>264</v>
      </c>
      <c r="B265" s="3" t="s">
        <v>615</v>
      </c>
      <c r="C265" s="3" t="s">
        <v>617</v>
      </c>
      <c r="D265" s="3" t="s">
        <v>404</v>
      </c>
      <c r="F265" s="3" t="str">
        <f>IF(ISNA(VLOOKUP(テーブル1[[#This Row],[内容]],ポケモンマスタ!A:A,1,FALSE)),"error","ok")</f>
        <v>ok</v>
      </c>
      <c r="G265" s="3" t="s">
        <v>615</v>
      </c>
    </row>
    <row r="266" spans="1:7">
      <c r="A266" s="3">
        <v>265</v>
      </c>
      <c r="B266" s="3" t="s">
        <v>615</v>
      </c>
      <c r="C266" s="3" t="s">
        <v>21</v>
      </c>
      <c r="D266" s="3" t="s">
        <v>404</v>
      </c>
      <c r="F266" s="3" t="str">
        <f>IF(ISNA(VLOOKUP(テーブル1[[#This Row],[内容]],ポケモンマスタ!A:A,1,FALSE)),"error","ok")</f>
        <v>ok</v>
      </c>
      <c r="G266" s="3" t="s">
        <v>615</v>
      </c>
    </row>
    <row r="267" spans="1:7">
      <c r="A267" s="3">
        <v>266</v>
      </c>
      <c r="B267" s="3" t="s">
        <v>615</v>
      </c>
      <c r="C267" s="3" t="s">
        <v>618</v>
      </c>
      <c r="D267" s="3" t="s">
        <v>404</v>
      </c>
      <c r="F267" s="3" t="str">
        <f>IF(ISNA(VLOOKUP(テーブル1[[#This Row],[内容]],ポケモンマスタ!A:A,1,FALSE)),"error","ok")</f>
        <v>ok</v>
      </c>
      <c r="G267" s="3" t="s">
        <v>615</v>
      </c>
    </row>
    <row r="268" spans="1:7">
      <c r="A268" s="3">
        <v>267</v>
      </c>
      <c r="B268" s="3" t="s">
        <v>615</v>
      </c>
      <c r="C268" s="3" t="s">
        <v>77</v>
      </c>
      <c r="D268" s="3" t="s">
        <v>404</v>
      </c>
      <c r="F268" s="3" t="str">
        <f>IF(ISNA(VLOOKUP(テーブル1[[#This Row],[内容]],ポケモンマスタ!A:A,1,FALSE)),"error","ok")</f>
        <v>ok</v>
      </c>
      <c r="G268" s="3" t="s">
        <v>615</v>
      </c>
    </row>
    <row r="269" spans="1:7">
      <c r="A269" s="3">
        <v>268</v>
      </c>
      <c r="B269" s="3" t="s">
        <v>621</v>
      </c>
      <c r="C269" s="3" t="s">
        <v>619</v>
      </c>
      <c r="D269" s="3" t="s">
        <v>404</v>
      </c>
      <c r="F269" s="3" t="str">
        <f>IF(ISNA(VLOOKUP(テーブル1[[#This Row],[内容]],ポケモンマスタ!A:A,1,FALSE)),"error","ok")</f>
        <v>ok</v>
      </c>
      <c r="G269" s="3" t="s">
        <v>621</v>
      </c>
    </row>
    <row r="270" spans="1:7">
      <c r="A270" s="3">
        <v>269</v>
      </c>
      <c r="B270" s="3" t="s">
        <v>621</v>
      </c>
      <c r="C270" s="3" t="s">
        <v>620</v>
      </c>
      <c r="D270" s="3" t="s">
        <v>404</v>
      </c>
      <c r="F270" s="3" t="str">
        <f>IF(ISNA(VLOOKUP(テーブル1[[#This Row],[内容]],ポケモンマスタ!A:A,1,FALSE)),"error","ok")</f>
        <v>ok</v>
      </c>
      <c r="G270" s="3" t="s">
        <v>621</v>
      </c>
    </row>
    <row r="271" spans="1:7">
      <c r="A271" s="3">
        <v>270</v>
      </c>
      <c r="B271" s="3" t="s">
        <v>622</v>
      </c>
      <c r="C271" s="3" t="s">
        <v>354</v>
      </c>
      <c r="D271" s="3" t="s">
        <v>404</v>
      </c>
      <c r="F271" s="3" t="str">
        <f>IF(ISNA(VLOOKUP(テーブル1[[#This Row],[内容]],ポケモンマスタ!A:A,1,FALSE)),"error","ok")</f>
        <v>ok</v>
      </c>
    </row>
    <row r="272" spans="1:7">
      <c r="A272" s="3">
        <v>271</v>
      </c>
      <c r="B272" s="3" t="s">
        <v>625</v>
      </c>
      <c r="C272" s="3" t="s">
        <v>623</v>
      </c>
      <c r="D272" s="3" t="s">
        <v>404</v>
      </c>
      <c r="F272" s="3" t="str">
        <f>IF(ISNA(VLOOKUP(テーブル1[[#This Row],[内容]],ポケモンマスタ!A:A,1,FALSE)),"error","ok")</f>
        <v>ok</v>
      </c>
      <c r="G272" s="3" t="s">
        <v>625</v>
      </c>
    </row>
    <row r="273" spans="1:7">
      <c r="A273" s="3">
        <v>272</v>
      </c>
      <c r="B273" s="3" t="s">
        <v>625</v>
      </c>
      <c r="C273" s="3" t="s">
        <v>624</v>
      </c>
      <c r="D273" s="3" t="s">
        <v>404</v>
      </c>
      <c r="F273" s="3" t="str">
        <f>IF(ISNA(VLOOKUP(テーブル1[[#This Row],[内容]],ポケモンマスタ!A:A,1,FALSE)),"error","ok")</f>
        <v>ok</v>
      </c>
      <c r="G273" s="3" t="s">
        <v>625</v>
      </c>
    </row>
    <row r="274" spans="1:7">
      <c r="A274" s="3">
        <v>273</v>
      </c>
      <c r="B274" s="3" t="s">
        <v>626</v>
      </c>
      <c r="C274" s="3" t="s">
        <v>240</v>
      </c>
      <c r="D274" s="3" t="s">
        <v>404</v>
      </c>
      <c r="F274" s="3" t="str">
        <f>IF(ISNA(VLOOKUP(テーブル1[[#This Row],[内容]],ポケモンマスタ!A:A,1,FALSE)),"error","ok")</f>
        <v>ok</v>
      </c>
    </row>
    <row r="275" spans="1:7">
      <c r="A275" s="3">
        <v>274</v>
      </c>
      <c r="B275" s="3" t="s">
        <v>627</v>
      </c>
      <c r="C275" s="3" t="s">
        <v>628</v>
      </c>
      <c r="D275" s="3" t="s">
        <v>404</v>
      </c>
      <c r="F275" s="3" t="str">
        <f>IF(ISNA(VLOOKUP(テーブル1[[#This Row],[内容]],ポケモンマスタ!A:A,1,FALSE)),"error","ok")</f>
        <v>ok</v>
      </c>
      <c r="G275" s="3" t="s">
        <v>627</v>
      </c>
    </row>
    <row r="276" spans="1:7">
      <c r="A276" s="3">
        <v>275</v>
      </c>
      <c r="B276" s="3" t="s">
        <v>627</v>
      </c>
      <c r="C276" s="3" t="s">
        <v>629</v>
      </c>
      <c r="D276" s="3" t="s">
        <v>404</v>
      </c>
      <c r="F276" s="3" t="str">
        <f>IF(ISNA(VLOOKUP(テーブル1[[#This Row],[内容]],ポケモンマスタ!A:A,1,FALSE)),"error","ok")</f>
        <v>ok</v>
      </c>
      <c r="G276" s="3" t="s">
        <v>627</v>
      </c>
    </row>
    <row r="277" spans="1:7">
      <c r="A277" s="3">
        <v>276</v>
      </c>
      <c r="B277" s="3" t="s">
        <v>627</v>
      </c>
      <c r="C277" s="3" t="s">
        <v>454</v>
      </c>
      <c r="D277" s="3" t="s">
        <v>404</v>
      </c>
      <c r="F277" s="3" t="str">
        <f>IF(ISNA(VLOOKUP(テーブル1[[#This Row],[内容]],ポケモンマスタ!A:A,1,FALSE)),"error","ok")</f>
        <v>ok</v>
      </c>
      <c r="G277" s="3" t="s">
        <v>627</v>
      </c>
    </row>
    <row r="278" spans="1:7">
      <c r="A278" s="3">
        <v>277</v>
      </c>
      <c r="B278" s="3" t="s">
        <v>627</v>
      </c>
      <c r="C278" s="3" t="s">
        <v>630</v>
      </c>
      <c r="D278" s="3" t="s">
        <v>404</v>
      </c>
      <c r="F278" s="3" t="str">
        <f>IF(ISNA(VLOOKUP(テーブル1[[#This Row],[内容]],ポケモンマスタ!A:A,1,FALSE)),"error","ok")</f>
        <v>ok</v>
      </c>
      <c r="G278" s="3" t="s">
        <v>627</v>
      </c>
    </row>
    <row r="279" spans="1:7">
      <c r="A279" s="3">
        <v>278</v>
      </c>
      <c r="B279" s="3" t="s">
        <v>627</v>
      </c>
      <c r="C279" s="3" t="s">
        <v>631</v>
      </c>
      <c r="D279" s="3" t="s">
        <v>404</v>
      </c>
      <c r="F279" s="3" t="str">
        <f>IF(ISNA(VLOOKUP(テーブル1[[#This Row],[内容]],ポケモンマスタ!A:A,1,FALSE)),"error","ok")</f>
        <v>ok</v>
      </c>
      <c r="G279" s="3" t="s">
        <v>627</v>
      </c>
    </row>
    <row r="280" spans="1:7">
      <c r="A280" s="3">
        <v>279</v>
      </c>
      <c r="B280" s="3" t="s">
        <v>627</v>
      </c>
      <c r="C280" s="3" t="s">
        <v>632</v>
      </c>
      <c r="D280" s="3" t="s">
        <v>404</v>
      </c>
      <c r="F280" s="3" t="str">
        <f>IF(ISNA(VLOOKUP(テーブル1[[#This Row],[内容]],ポケモンマスタ!A:A,1,FALSE)),"error","ok")</f>
        <v>ok</v>
      </c>
      <c r="G280" s="3" t="s">
        <v>627</v>
      </c>
    </row>
    <row r="281" spans="1:7">
      <c r="A281" s="3">
        <v>280</v>
      </c>
      <c r="B281" s="3" t="s">
        <v>633</v>
      </c>
      <c r="C281" s="3" t="s">
        <v>75</v>
      </c>
      <c r="D281" s="3" t="s">
        <v>404</v>
      </c>
      <c r="E281" s="3" t="s">
        <v>634</v>
      </c>
      <c r="F281" s="3" t="str">
        <f>IF(ISNA(VLOOKUP(テーブル1[[#This Row],[内容]],ポケモンマスタ!A:A,1,FALSE)),"error","ok")</f>
        <v>ok</v>
      </c>
    </row>
    <row r="282" spans="1:7">
      <c r="A282" s="3">
        <v>281</v>
      </c>
      <c r="B282" s="3" t="s">
        <v>635</v>
      </c>
      <c r="C282" s="3" t="s">
        <v>16</v>
      </c>
      <c r="D282" s="3" t="s">
        <v>404</v>
      </c>
      <c r="F282" s="3" t="str">
        <f>IF(ISNA(VLOOKUP(テーブル1[[#This Row],[内容]],ポケモンマスタ!A:A,1,FALSE)),"error","ok")</f>
        <v>ok</v>
      </c>
    </row>
    <row r="283" spans="1:7">
      <c r="A283" s="3">
        <v>282</v>
      </c>
      <c r="B283" s="3" t="s">
        <v>636</v>
      </c>
      <c r="C283" s="3" t="s">
        <v>637</v>
      </c>
      <c r="D283" s="3" t="s">
        <v>404</v>
      </c>
      <c r="E283" s="3" t="s">
        <v>638</v>
      </c>
      <c r="F283" s="3" t="str">
        <f>IF(ISNA(VLOOKUP(テーブル1[[#This Row],[内容]],ポケモンマスタ!A:A,1,FALSE)),"error","ok")</f>
        <v>ok</v>
      </c>
    </row>
    <row r="284" spans="1:7">
      <c r="A284" s="3">
        <v>283</v>
      </c>
      <c r="B284" s="3" t="s">
        <v>639</v>
      </c>
      <c r="D284" s="3" t="s">
        <v>404</v>
      </c>
      <c r="E284" s="3" t="s">
        <v>640</v>
      </c>
      <c r="F284" s="3" t="str">
        <f>IF(ISNA(VLOOKUP(テーブル1[[#This Row],[内容]],ポケモンマスタ!A:A,1,FALSE)),"error","ok")</f>
        <v>error</v>
      </c>
    </row>
    <row r="285" spans="1:7">
      <c r="A285" s="3">
        <v>284</v>
      </c>
      <c r="B285" s="3" t="s">
        <v>642</v>
      </c>
      <c r="D285" s="3" t="s">
        <v>404</v>
      </c>
      <c r="E285" s="3" t="s">
        <v>641</v>
      </c>
      <c r="F285" s="3" t="str">
        <f>IF(ISNA(VLOOKUP(テーブル1[[#This Row],[内容]],ポケモンマスタ!A:A,1,FALSE)),"error","ok")</f>
        <v>error</v>
      </c>
    </row>
    <row r="286" spans="1:7">
      <c r="A286" s="3">
        <v>285</v>
      </c>
      <c r="B286" s="3" t="s">
        <v>643</v>
      </c>
      <c r="C286" s="3" t="s">
        <v>644</v>
      </c>
      <c r="D286" s="3" t="s">
        <v>404</v>
      </c>
      <c r="F286" s="3" t="str">
        <f>IF(ISNA(VLOOKUP(テーブル1[[#This Row],[内容]],ポケモンマスタ!A:A,1,FALSE)),"error","ok")</f>
        <v>ok</v>
      </c>
      <c r="G286" s="3" t="s">
        <v>643</v>
      </c>
    </row>
    <row r="287" spans="1:7">
      <c r="A287" s="3">
        <v>286</v>
      </c>
      <c r="B287" s="3" t="s">
        <v>643</v>
      </c>
      <c r="C287" s="3" t="s">
        <v>257</v>
      </c>
      <c r="D287" s="3" t="s">
        <v>404</v>
      </c>
      <c r="F287" s="3" t="str">
        <f>IF(ISNA(VLOOKUP(テーブル1[[#This Row],[内容]],ポケモンマスタ!A:A,1,FALSE)),"error","ok")</f>
        <v>ok</v>
      </c>
      <c r="G287" s="3" t="s">
        <v>643</v>
      </c>
    </row>
    <row r="288" spans="1:7">
      <c r="A288" s="3">
        <v>287</v>
      </c>
      <c r="B288" s="3" t="s">
        <v>643</v>
      </c>
      <c r="C288" s="3" t="s">
        <v>645</v>
      </c>
      <c r="D288" s="3" t="s">
        <v>404</v>
      </c>
      <c r="F288" s="3" t="str">
        <f>IF(ISNA(VLOOKUP(テーブル1[[#This Row],[内容]],ポケモンマスタ!A:A,1,FALSE)),"error","ok")</f>
        <v>ok</v>
      </c>
      <c r="G288" s="3" t="s">
        <v>643</v>
      </c>
    </row>
    <row r="289" spans="1:7">
      <c r="A289" s="3">
        <v>288</v>
      </c>
      <c r="B289" s="3" t="s">
        <v>643</v>
      </c>
      <c r="C289" s="3" t="s">
        <v>646</v>
      </c>
      <c r="D289" s="3" t="s">
        <v>404</v>
      </c>
      <c r="F289" s="3" t="str">
        <f>IF(ISNA(VLOOKUP(テーブル1[[#This Row],[内容]],ポケモンマスタ!A:A,1,FALSE)),"error","ok")</f>
        <v>ok</v>
      </c>
      <c r="G289" s="3" t="s">
        <v>643</v>
      </c>
    </row>
    <row r="290" spans="1:7">
      <c r="A290" s="3">
        <v>289</v>
      </c>
      <c r="B290" s="3" t="s">
        <v>643</v>
      </c>
      <c r="C290" s="3" t="s">
        <v>647</v>
      </c>
      <c r="D290" s="3" t="s">
        <v>404</v>
      </c>
      <c r="F290" s="3" t="str">
        <f>IF(ISNA(VLOOKUP(テーブル1[[#This Row],[内容]],ポケモンマスタ!A:A,1,FALSE)),"error","ok")</f>
        <v>ok</v>
      </c>
      <c r="G290" s="3" t="s">
        <v>643</v>
      </c>
    </row>
    <row r="291" spans="1:7">
      <c r="A291" s="3">
        <v>290</v>
      </c>
      <c r="B291" s="3" t="s">
        <v>643</v>
      </c>
      <c r="C291" s="3" t="s">
        <v>348</v>
      </c>
      <c r="D291" s="3" t="s">
        <v>404</v>
      </c>
      <c r="F291" s="3" t="str">
        <f>IF(ISNA(VLOOKUP(テーブル1[[#This Row],[内容]],ポケモンマスタ!A:A,1,FALSE)),"error","ok")</f>
        <v>ok</v>
      </c>
      <c r="G291" s="3" t="s">
        <v>643</v>
      </c>
    </row>
    <row r="292" spans="1:7">
      <c r="A292" s="3">
        <v>291</v>
      </c>
      <c r="B292" s="3" t="s">
        <v>649</v>
      </c>
      <c r="C292" s="3" t="s">
        <v>648</v>
      </c>
      <c r="D292" s="3" t="s">
        <v>404</v>
      </c>
      <c r="E292" s="3" t="s">
        <v>650</v>
      </c>
      <c r="F292" s="3" t="str">
        <f>IF(ISNA(VLOOKUP(テーブル1[[#This Row],[内容]],ポケモンマスタ!A:A,1,FALSE)),"error","ok")</f>
        <v>ok</v>
      </c>
      <c r="G292" s="3" t="s">
        <v>649</v>
      </c>
    </row>
    <row r="293" spans="1:7">
      <c r="A293" s="3">
        <v>292</v>
      </c>
      <c r="B293" s="3" t="s">
        <v>649</v>
      </c>
      <c r="C293" s="3" t="s">
        <v>240</v>
      </c>
      <c r="D293" s="3" t="s">
        <v>404</v>
      </c>
      <c r="E293" s="3" t="s">
        <v>650</v>
      </c>
      <c r="F293" s="3" t="str">
        <f>IF(ISNA(VLOOKUP(テーブル1[[#This Row],[内容]],ポケモンマスタ!A:A,1,FALSE)),"error","ok")</f>
        <v>ok</v>
      </c>
      <c r="G293" s="3" t="s">
        <v>649</v>
      </c>
    </row>
    <row r="294" spans="1:7">
      <c r="A294" s="3">
        <v>293</v>
      </c>
      <c r="B294" s="3" t="s">
        <v>651</v>
      </c>
      <c r="C294" s="3" t="s">
        <v>171</v>
      </c>
      <c r="D294" s="3" t="s">
        <v>404</v>
      </c>
      <c r="F294" s="3" t="str">
        <f>IF(ISNA(VLOOKUP(テーブル1[[#This Row],[内容]],ポケモンマスタ!A:A,1,FALSE)),"error","ok")</f>
        <v>ok</v>
      </c>
    </row>
    <row r="295" spans="1:7">
      <c r="A295" s="3">
        <v>294</v>
      </c>
      <c r="B295" s="3" t="s">
        <v>652</v>
      </c>
      <c r="C295" s="3" t="s">
        <v>213</v>
      </c>
      <c r="D295" s="3" t="s">
        <v>404</v>
      </c>
      <c r="F295" s="3" t="str">
        <f>IF(ISNA(VLOOKUP(テーブル1[[#This Row],[内容]],ポケモンマスタ!A:A,1,FALSE)),"error","ok")</f>
        <v>ok</v>
      </c>
    </row>
    <row r="296" spans="1:7">
      <c r="A296" s="3">
        <v>295</v>
      </c>
      <c r="B296" s="3" t="s">
        <v>654</v>
      </c>
      <c r="C296" s="3" t="s">
        <v>653</v>
      </c>
      <c r="D296" s="3" t="s">
        <v>404</v>
      </c>
      <c r="E296" s="3" t="s">
        <v>655</v>
      </c>
      <c r="F296" s="3" t="str">
        <f>IF(ISNA(VLOOKUP(テーブル1[[#This Row],[内容]],ポケモンマスタ!A:A,1,FALSE)),"error","ok")</f>
        <v>ok</v>
      </c>
    </row>
    <row r="297" spans="1:7">
      <c r="A297" s="3">
        <v>296</v>
      </c>
      <c r="B297" s="3" t="s">
        <v>656</v>
      </c>
      <c r="C297" s="3" t="s">
        <v>486</v>
      </c>
      <c r="D297" s="3" t="s">
        <v>404</v>
      </c>
      <c r="F297" s="3" t="str">
        <f>IF(ISNA(VLOOKUP(テーブル1[[#This Row],[内容]],ポケモンマスタ!A:A,1,FALSE)),"error","ok")</f>
        <v>ok</v>
      </c>
    </row>
    <row r="298" spans="1:7">
      <c r="A298" s="3">
        <v>297</v>
      </c>
      <c r="B298" s="3" t="s">
        <v>657</v>
      </c>
      <c r="C298" s="3" t="s">
        <v>658</v>
      </c>
      <c r="D298" s="3" t="s">
        <v>404</v>
      </c>
      <c r="F298" s="3" t="str">
        <f>IF(ISNA(VLOOKUP(テーブル1[[#This Row],[内容]],ポケモンマスタ!A:A,1,FALSE)),"error","ok")</f>
        <v>ok</v>
      </c>
    </row>
    <row r="299" spans="1:7">
      <c r="A299" s="3">
        <v>298</v>
      </c>
      <c r="B299" s="3" t="s">
        <v>659</v>
      </c>
      <c r="C299" s="3" t="s">
        <v>16</v>
      </c>
      <c r="D299" s="3" t="s">
        <v>404</v>
      </c>
      <c r="F299" s="3" t="str">
        <f>IF(ISNA(VLOOKUP(テーブル1[[#This Row],[内容]],ポケモンマスタ!A:A,1,FALSE)),"error","ok")</f>
        <v>ok</v>
      </c>
    </row>
    <row r="300" spans="1:7">
      <c r="A300" s="3">
        <v>299</v>
      </c>
      <c r="B300" s="3" t="s">
        <v>660</v>
      </c>
      <c r="C300" s="3" t="s">
        <v>620</v>
      </c>
      <c r="D300" s="3" t="s">
        <v>404</v>
      </c>
      <c r="E300" s="3" t="s">
        <v>661</v>
      </c>
      <c r="F300" s="3" t="str">
        <f>IF(ISNA(VLOOKUP(テーブル1[[#This Row],[内容]],ポケモンマスタ!A:A,1,FALSE)),"error","ok")</f>
        <v>ok</v>
      </c>
    </row>
    <row r="301" spans="1:7">
      <c r="A301" s="3">
        <v>300</v>
      </c>
      <c r="B301" s="3" t="s">
        <v>662</v>
      </c>
      <c r="C301" s="3" t="s">
        <v>486</v>
      </c>
      <c r="D301" s="3" t="s">
        <v>404</v>
      </c>
      <c r="F301" s="3" t="str">
        <f>IF(ISNA(VLOOKUP(テーブル1[[#This Row],[内容]],ポケモンマスタ!A:A,1,FALSE)),"error","ok")</f>
        <v>ok</v>
      </c>
    </row>
    <row r="302" spans="1:7">
      <c r="A302" s="3">
        <v>301</v>
      </c>
      <c r="B302" s="3" t="s">
        <v>663</v>
      </c>
      <c r="C302" s="3" t="s">
        <v>179</v>
      </c>
      <c r="D302" s="3" t="s">
        <v>404</v>
      </c>
      <c r="F302" s="3" t="str">
        <f>IF(ISNA(VLOOKUP(テーブル1[[#This Row],[内容]],ポケモンマスタ!A:A,1,FALSE)),"error","ok")</f>
        <v>ok</v>
      </c>
    </row>
    <row r="303" spans="1:7">
      <c r="A303" s="3">
        <v>302</v>
      </c>
      <c r="B303" s="3" t="s">
        <v>664</v>
      </c>
      <c r="C303" s="3" t="s">
        <v>6</v>
      </c>
      <c r="D303" s="3" t="s">
        <v>404</v>
      </c>
      <c r="F303" s="3" t="str">
        <f>IF(ISNA(VLOOKUP(テーブル1[[#This Row],[内容]],ポケモンマスタ!A:A,1,FALSE)),"error","ok")</f>
        <v>ok</v>
      </c>
    </row>
    <row r="304" spans="1:7">
      <c r="A304" s="3">
        <v>303</v>
      </c>
      <c r="B304" s="3" t="s">
        <v>665</v>
      </c>
      <c r="C304" s="3" t="s">
        <v>321</v>
      </c>
      <c r="D304" s="3" t="s">
        <v>404</v>
      </c>
      <c r="F304" s="3" t="str">
        <f>IF(ISNA(VLOOKUP(テーブル1[[#This Row],[内容]],ポケモンマスタ!A:A,1,FALSE)),"error","ok")</f>
        <v>ok</v>
      </c>
    </row>
    <row r="305" spans="1:7">
      <c r="A305" s="3">
        <v>304</v>
      </c>
      <c r="B305" s="3" t="s">
        <v>666</v>
      </c>
      <c r="D305" s="3" t="s">
        <v>404</v>
      </c>
      <c r="E305" s="3" t="s">
        <v>667</v>
      </c>
      <c r="F305" s="3" t="str">
        <f>IF(ISNA(VLOOKUP(テーブル1[[#This Row],[内容]],ポケモンマスタ!A:A,1,FALSE)),"error","ok")</f>
        <v>error</v>
      </c>
    </row>
    <row r="306" spans="1:7">
      <c r="A306" s="3">
        <v>305</v>
      </c>
      <c r="B306" s="3" t="s">
        <v>668</v>
      </c>
      <c r="D306" s="3" t="s">
        <v>404</v>
      </c>
      <c r="E306" s="3" t="s">
        <v>669</v>
      </c>
      <c r="F306" s="3" t="str">
        <f>IF(ISNA(VLOOKUP(テーブル1[[#This Row],[内容]],ポケモンマスタ!A:A,1,FALSE)),"error","ok")</f>
        <v>error</v>
      </c>
    </row>
    <row r="307" spans="1:7">
      <c r="A307" s="3">
        <v>306</v>
      </c>
      <c r="B307" s="3" t="s">
        <v>670</v>
      </c>
      <c r="C307" s="3" t="s">
        <v>272</v>
      </c>
      <c r="D307" s="3" t="s">
        <v>404</v>
      </c>
      <c r="F307" s="3" t="str">
        <f>IF(ISNA(VLOOKUP(テーブル1[[#This Row],[内容]],ポケモンマスタ!A:A,1,FALSE)),"error","ok")</f>
        <v>ok</v>
      </c>
    </row>
    <row r="308" spans="1:7">
      <c r="A308" s="3">
        <v>307</v>
      </c>
      <c r="B308" s="3" t="s">
        <v>671</v>
      </c>
      <c r="D308" s="3" t="s">
        <v>404</v>
      </c>
      <c r="E308" s="3" t="s">
        <v>672</v>
      </c>
      <c r="F308" s="3" t="str">
        <f>IF(ISNA(VLOOKUP(テーブル1[[#This Row],[内容]],ポケモンマスタ!A:A,1,FALSE)),"error","ok")</f>
        <v>error</v>
      </c>
    </row>
    <row r="309" spans="1:7">
      <c r="A309" s="3">
        <v>308</v>
      </c>
      <c r="B309" s="3" t="s">
        <v>675</v>
      </c>
      <c r="C309" s="3" t="s">
        <v>674</v>
      </c>
      <c r="D309" s="3" t="s">
        <v>404</v>
      </c>
      <c r="E309" s="3" t="s">
        <v>673</v>
      </c>
      <c r="F309" s="3" t="str">
        <f>IF(ISNA(VLOOKUP(テーブル1[[#This Row],[内容]],ポケモンマスタ!A:A,1,FALSE)),"error","ok")</f>
        <v>ok</v>
      </c>
    </row>
    <row r="310" spans="1:7">
      <c r="A310" s="3">
        <v>309</v>
      </c>
      <c r="B310" s="3" t="s">
        <v>676</v>
      </c>
      <c r="C310" s="3" t="s">
        <v>373</v>
      </c>
      <c r="D310" s="3" t="s">
        <v>404</v>
      </c>
      <c r="F310" s="3" t="str">
        <f>IF(ISNA(VLOOKUP(テーブル1[[#This Row],[内容]],ポケモンマスタ!A:A,1,FALSE)),"error","ok")</f>
        <v>ok</v>
      </c>
    </row>
    <row r="311" spans="1:7">
      <c r="A311" s="3">
        <v>310</v>
      </c>
      <c r="B311" s="3" t="s">
        <v>678</v>
      </c>
      <c r="C311" s="3" t="s">
        <v>39</v>
      </c>
      <c r="D311" s="3" t="s">
        <v>404</v>
      </c>
      <c r="E311" s="3" t="s">
        <v>677</v>
      </c>
      <c r="F311" s="3" t="str">
        <f>IF(ISNA(VLOOKUP(テーブル1[[#This Row],[内容]],ポケモンマスタ!A:A,1,FALSE)),"error","ok")</f>
        <v>ok</v>
      </c>
    </row>
    <row r="312" spans="1:7">
      <c r="A312" s="3">
        <v>311</v>
      </c>
      <c r="B312" s="3" t="s">
        <v>679</v>
      </c>
      <c r="C312" s="3" t="s">
        <v>371</v>
      </c>
      <c r="D312" s="3" t="s">
        <v>404</v>
      </c>
      <c r="F312" s="3" t="str">
        <f>IF(ISNA(VLOOKUP(テーブル1[[#This Row],[内容]],ポケモンマスタ!A:A,1,FALSE)),"error","ok")</f>
        <v>ok</v>
      </c>
      <c r="G312" s="3" t="s">
        <v>679</v>
      </c>
    </row>
    <row r="313" spans="1:7">
      <c r="A313" s="3">
        <v>312</v>
      </c>
      <c r="B313" s="3" t="s">
        <v>679</v>
      </c>
      <c r="C313" s="3" t="s">
        <v>122</v>
      </c>
      <c r="D313" s="3" t="s">
        <v>404</v>
      </c>
      <c r="F313" s="3" t="str">
        <f>IF(ISNA(VLOOKUP(テーブル1[[#This Row],[内容]],ポケモンマスタ!A:A,1,FALSE)),"error","ok")</f>
        <v>ok</v>
      </c>
      <c r="G313" s="3" t="s">
        <v>679</v>
      </c>
    </row>
    <row r="314" spans="1:7">
      <c r="A314" s="3">
        <v>313</v>
      </c>
      <c r="B314" s="3" t="s">
        <v>679</v>
      </c>
      <c r="C314" s="3" t="s">
        <v>681</v>
      </c>
      <c r="D314" s="3" t="s">
        <v>404</v>
      </c>
      <c r="F314" s="3" t="str">
        <f>IF(ISNA(VLOOKUP(テーブル1[[#This Row],[内容]],ポケモンマスタ!A:A,1,FALSE)),"error","ok")</f>
        <v>ok</v>
      </c>
      <c r="G314" s="3" t="s">
        <v>679</v>
      </c>
    </row>
    <row r="315" spans="1:7">
      <c r="A315" s="3">
        <v>314</v>
      </c>
      <c r="B315" s="3" t="s">
        <v>682</v>
      </c>
      <c r="C315" s="3" t="s">
        <v>684</v>
      </c>
      <c r="D315" s="3" t="s">
        <v>404</v>
      </c>
      <c r="F315" s="3" t="str">
        <f>IF(ISNA(VLOOKUP(テーブル1[[#This Row],[内容]],ポケモンマスタ!A:A,1,FALSE)),"error","ok")</f>
        <v>ok</v>
      </c>
    </row>
    <row r="316" spans="1:7">
      <c r="A316" s="3">
        <v>315</v>
      </c>
      <c r="B316" s="3" t="s">
        <v>685</v>
      </c>
      <c r="C316" s="3" t="s">
        <v>687</v>
      </c>
      <c r="D316" s="3" t="s">
        <v>404</v>
      </c>
      <c r="F316" s="3" t="str">
        <f>IF(ISNA(VLOOKUP(テーブル1[[#This Row],[内容]],ポケモンマスタ!A:A,1,FALSE)),"error","ok")</f>
        <v>ok</v>
      </c>
    </row>
    <row r="317" spans="1:7">
      <c r="A317" s="3">
        <v>316</v>
      </c>
      <c r="B317" s="3" t="s">
        <v>688</v>
      </c>
      <c r="C317" s="3" t="s">
        <v>118</v>
      </c>
      <c r="D317" s="3" t="s">
        <v>404</v>
      </c>
      <c r="F317" s="3" t="str">
        <f>IF(ISNA(VLOOKUP(テーブル1[[#This Row],[内容]],ポケモンマスタ!A:A,1,FALSE)),"error","ok")</f>
        <v>ok</v>
      </c>
    </row>
    <row r="318" spans="1:7">
      <c r="A318" s="3">
        <v>317</v>
      </c>
      <c r="B318" s="3" t="s">
        <v>689</v>
      </c>
      <c r="C318" s="3" t="s">
        <v>691</v>
      </c>
      <c r="D318" s="3" t="s">
        <v>404</v>
      </c>
      <c r="E318" s="3" t="s">
        <v>692</v>
      </c>
      <c r="F318" s="3" t="str">
        <f>IF(ISNA(VLOOKUP(テーブル1[[#This Row],[内容]],ポケモンマスタ!A:A,1,FALSE)),"error","ok")</f>
        <v>ok</v>
      </c>
    </row>
    <row r="319" spans="1:7">
      <c r="A319" s="3">
        <v>318</v>
      </c>
      <c r="B319" s="3" t="s">
        <v>693</v>
      </c>
      <c r="C319" s="3" t="s">
        <v>34</v>
      </c>
      <c r="D319" s="3" t="s">
        <v>404</v>
      </c>
      <c r="F319" s="3" t="str">
        <f>IF(ISNA(VLOOKUP(テーブル1[[#This Row],[内容]],ポケモンマスタ!A:A,1,FALSE)),"error","ok")</f>
        <v>ok</v>
      </c>
    </row>
    <row r="320" spans="1:7">
      <c r="A320" s="3">
        <v>319</v>
      </c>
      <c r="B320" s="3" t="s">
        <v>694</v>
      </c>
      <c r="C320" s="3" t="s">
        <v>696</v>
      </c>
      <c r="D320" s="3" t="s">
        <v>404</v>
      </c>
      <c r="F320" s="3" t="str">
        <f>IF(ISNA(VLOOKUP(テーブル1[[#This Row],[内容]],ポケモンマスタ!A:A,1,FALSE)),"error","ok")</f>
        <v>ok</v>
      </c>
    </row>
    <row r="321" spans="1:7">
      <c r="A321" s="3">
        <v>320</v>
      </c>
      <c r="B321" s="3" t="s">
        <v>608</v>
      </c>
      <c r="D321" s="3" t="s">
        <v>404</v>
      </c>
      <c r="E321" s="3" t="s">
        <v>697</v>
      </c>
      <c r="F321" s="3" t="str">
        <f>IF(ISNA(VLOOKUP(テーブル1[[#This Row],[内容]],ポケモンマスタ!A:A,1,FALSE)),"error","ok")</f>
        <v>error</v>
      </c>
    </row>
    <row r="322" spans="1:7">
      <c r="A322" s="3">
        <v>321</v>
      </c>
      <c r="B322" s="3" t="s">
        <v>698</v>
      </c>
      <c r="C322" s="3" t="s">
        <v>89</v>
      </c>
      <c r="D322" s="3" t="s">
        <v>404</v>
      </c>
      <c r="F322" s="3" t="str">
        <f>IF(ISNA(VLOOKUP(テーブル1[[#This Row],[内容]],ポケモンマスタ!A:A,1,FALSE)),"error","ok")</f>
        <v>ok</v>
      </c>
    </row>
    <row r="323" spans="1:7">
      <c r="A323" s="3">
        <v>322</v>
      </c>
      <c r="B323" s="3" t="s">
        <v>699</v>
      </c>
      <c r="C323" s="3" t="s">
        <v>240</v>
      </c>
      <c r="D323" s="3" t="s">
        <v>404</v>
      </c>
      <c r="F323" s="3" t="str">
        <f>IF(ISNA(VLOOKUP(テーブル1[[#This Row],[内容]],ポケモンマスタ!A:A,1,FALSE)),"error","ok")</f>
        <v>ok</v>
      </c>
    </row>
    <row r="324" spans="1:7">
      <c r="A324" s="3">
        <v>323</v>
      </c>
      <c r="B324" s="3" t="s">
        <v>700</v>
      </c>
      <c r="C324" s="3" t="s">
        <v>702</v>
      </c>
      <c r="D324" s="3" t="s">
        <v>404</v>
      </c>
      <c r="F324" s="3" t="str">
        <f>IF(ISNA(VLOOKUP(テーブル1[[#This Row],[内容]],ポケモンマスタ!A:A,1,FALSE)),"error","ok")</f>
        <v>ok</v>
      </c>
      <c r="G324" s="3" t="s">
        <v>700</v>
      </c>
    </row>
    <row r="325" spans="1:7">
      <c r="A325" s="3">
        <v>324</v>
      </c>
      <c r="B325" s="3" t="s">
        <v>700</v>
      </c>
      <c r="C325" s="3" t="s">
        <v>116</v>
      </c>
      <c r="D325" s="3" t="s">
        <v>404</v>
      </c>
      <c r="F325" s="3" t="str">
        <f>IF(ISNA(VLOOKUP(テーブル1[[#This Row],[内容]],ポケモンマスタ!A:A,1,FALSE)),"error","ok")</f>
        <v>ok</v>
      </c>
      <c r="G325" s="3" t="s">
        <v>700</v>
      </c>
    </row>
    <row r="326" spans="1:7">
      <c r="A326" s="3">
        <v>325</v>
      </c>
      <c r="B326" s="3" t="s">
        <v>700</v>
      </c>
      <c r="C326" s="3" t="s">
        <v>704</v>
      </c>
      <c r="D326" s="3" t="s">
        <v>404</v>
      </c>
      <c r="F326" s="3" t="str">
        <f>IF(ISNA(VLOOKUP(テーブル1[[#This Row],[内容]],ポケモンマスタ!A:A,1,FALSE)),"error","ok")</f>
        <v>ok</v>
      </c>
      <c r="G326" s="3" t="s">
        <v>700</v>
      </c>
    </row>
    <row r="327" spans="1:7">
      <c r="A327" s="3">
        <v>326</v>
      </c>
      <c r="B327" s="3" t="s">
        <v>700</v>
      </c>
      <c r="C327" s="3" t="s">
        <v>706</v>
      </c>
      <c r="D327" s="3" t="s">
        <v>404</v>
      </c>
      <c r="F327" s="3" t="str">
        <f>IF(ISNA(VLOOKUP(テーブル1[[#This Row],[内容]],ポケモンマスタ!A:A,1,FALSE)),"error","ok")</f>
        <v>ok</v>
      </c>
      <c r="G327" s="3" t="s">
        <v>700</v>
      </c>
    </row>
    <row r="328" spans="1:7">
      <c r="A328" s="3">
        <v>327</v>
      </c>
      <c r="B328" s="3" t="s">
        <v>700</v>
      </c>
      <c r="C328" s="3" t="s">
        <v>708</v>
      </c>
      <c r="D328" s="3" t="s">
        <v>404</v>
      </c>
      <c r="F328" s="3" t="str">
        <f>IF(ISNA(VLOOKUP(テーブル1[[#This Row],[内容]],ポケモンマスタ!A:A,1,FALSE)),"error","ok")</f>
        <v>ok</v>
      </c>
      <c r="G328" s="3" t="s">
        <v>700</v>
      </c>
    </row>
    <row r="329" spans="1:7">
      <c r="A329" s="3">
        <v>328</v>
      </c>
      <c r="B329" s="3" t="s">
        <v>700</v>
      </c>
      <c r="C329" s="3" t="s">
        <v>710</v>
      </c>
      <c r="D329" s="3" t="s">
        <v>404</v>
      </c>
      <c r="F329" s="3" t="str">
        <f>IF(ISNA(VLOOKUP(テーブル1[[#This Row],[内容]],ポケモンマスタ!A:A,1,FALSE)),"error","ok")</f>
        <v>ok</v>
      </c>
      <c r="G329" s="3" t="s">
        <v>700</v>
      </c>
    </row>
    <row r="330" spans="1:7">
      <c r="A330" s="3">
        <v>329</v>
      </c>
      <c r="B330" s="3" t="s">
        <v>711</v>
      </c>
      <c r="D330" s="3" t="s">
        <v>404</v>
      </c>
      <c r="E330" s="3" t="s">
        <v>712</v>
      </c>
      <c r="F330" s="3" t="str">
        <f>IF(ISNA(VLOOKUP(テーブル1[[#This Row],[内容]],ポケモンマスタ!A:A,1,FALSE)),"error","ok")</f>
        <v>error</v>
      </c>
    </row>
    <row r="331" spans="1:7">
      <c r="A331" s="3">
        <v>330</v>
      </c>
      <c r="B331" s="3" t="s">
        <v>713</v>
      </c>
      <c r="C331" s="3" t="s">
        <v>266</v>
      </c>
      <c r="D331" s="3" t="s">
        <v>404</v>
      </c>
      <c r="F331" s="3" t="str">
        <f>IF(ISNA(VLOOKUP(テーブル1[[#This Row],[内容]],ポケモンマスタ!A:A,1,FALSE)),"error","ok")</f>
        <v>ok</v>
      </c>
    </row>
    <row r="332" spans="1:7">
      <c r="A332" s="3">
        <v>331</v>
      </c>
      <c r="B332" s="3" t="s">
        <v>714</v>
      </c>
      <c r="C332" s="3" t="s">
        <v>188</v>
      </c>
      <c r="D332" s="3" t="s">
        <v>404</v>
      </c>
      <c r="F332" s="3" t="str">
        <f>IF(ISNA(VLOOKUP(テーブル1[[#This Row],[内容]],ポケモンマスタ!A:A,1,FALSE)),"error","ok")</f>
        <v>ok</v>
      </c>
    </row>
    <row r="333" spans="1:7">
      <c r="A333" s="3">
        <v>332</v>
      </c>
      <c r="B333" s="3" t="s">
        <v>715</v>
      </c>
      <c r="C333" s="3" t="s">
        <v>717</v>
      </c>
      <c r="D333" s="3" t="s">
        <v>404</v>
      </c>
      <c r="F333" s="3" t="str">
        <f>IF(ISNA(VLOOKUP(テーブル1[[#This Row],[内容]],ポケモンマスタ!A:A,1,FALSE)),"error","ok")</f>
        <v>ok</v>
      </c>
    </row>
    <row r="334" spans="1:7">
      <c r="A334" s="3">
        <v>333</v>
      </c>
      <c r="B334" s="3" t="s">
        <v>718</v>
      </c>
      <c r="C334" s="3" t="s">
        <v>16</v>
      </c>
      <c r="D334" s="3" t="s">
        <v>404</v>
      </c>
      <c r="F334" s="3" t="str">
        <f>IF(ISNA(VLOOKUP(テーブル1[[#This Row],[内容]],ポケモンマスタ!A:A,1,FALSE)),"error","ok")</f>
        <v>ok</v>
      </c>
      <c r="G334" s="3" t="s">
        <v>718</v>
      </c>
    </row>
    <row r="335" spans="1:7">
      <c r="A335" s="3">
        <v>334</v>
      </c>
      <c r="B335" s="3" t="s">
        <v>718</v>
      </c>
      <c r="C335" s="3" t="s">
        <v>344</v>
      </c>
      <c r="D335" s="3" t="s">
        <v>404</v>
      </c>
      <c r="F335" s="3" t="str">
        <f>IF(ISNA(VLOOKUP(テーブル1[[#This Row],[内容]],ポケモンマスタ!A:A,1,FALSE)),"error","ok")</f>
        <v>ok</v>
      </c>
      <c r="G335" s="3" t="s">
        <v>718</v>
      </c>
    </row>
    <row r="336" spans="1:7">
      <c r="A336" s="3">
        <v>335</v>
      </c>
      <c r="B336" s="3" t="s">
        <v>719</v>
      </c>
      <c r="C336" s="3" t="s">
        <v>248</v>
      </c>
      <c r="D336" s="3" t="s">
        <v>404</v>
      </c>
      <c r="F336" s="3" t="str">
        <f>IF(ISNA(VLOOKUP(テーブル1[[#This Row],[内容]],ポケモンマスタ!A:A,1,FALSE)),"error","ok")</f>
        <v>ok</v>
      </c>
    </row>
    <row r="337" spans="1:7">
      <c r="A337" s="3">
        <v>336</v>
      </c>
      <c r="B337" s="3" t="s">
        <v>720</v>
      </c>
      <c r="C337" s="3" t="s">
        <v>105</v>
      </c>
      <c r="D337" s="3" t="s">
        <v>404</v>
      </c>
      <c r="E337" s="3" t="s">
        <v>721</v>
      </c>
      <c r="F337" s="3" t="str">
        <f>IF(ISNA(VLOOKUP(テーブル1[[#This Row],[内容]],ポケモンマスタ!A:A,1,FALSE)),"error","ok")</f>
        <v>ok</v>
      </c>
    </row>
    <row r="338" spans="1:7">
      <c r="A338" s="3">
        <v>337</v>
      </c>
      <c r="B338" s="3" t="s">
        <v>722</v>
      </c>
      <c r="C338" s="3" t="s">
        <v>371</v>
      </c>
      <c r="D338" s="3" t="s">
        <v>404</v>
      </c>
      <c r="F338" s="3" t="str">
        <f>IF(ISNA(VLOOKUP(テーブル1[[#This Row],[内容]],ポケモンマスタ!A:A,1,FALSE)),"error","ok")</f>
        <v>ok</v>
      </c>
    </row>
    <row r="339" spans="1:7">
      <c r="A339" s="3">
        <v>338</v>
      </c>
      <c r="B339" s="3" t="s">
        <v>723</v>
      </c>
      <c r="C339" s="3" t="s">
        <v>16</v>
      </c>
      <c r="D339" s="3" t="s">
        <v>404</v>
      </c>
      <c r="F339" s="3" t="str">
        <f>IF(ISNA(VLOOKUP(テーブル1[[#This Row],[内容]],ポケモンマスタ!A:A,1,FALSE)),"error","ok")</f>
        <v>ok</v>
      </c>
    </row>
    <row r="340" spans="1:7">
      <c r="A340" s="3">
        <v>339</v>
      </c>
      <c r="B340" s="3" t="s">
        <v>726</v>
      </c>
      <c r="C340" s="3" t="s">
        <v>725</v>
      </c>
      <c r="D340" s="3" t="s">
        <v>404</v>
      </c>
      <c r="F340" s="3" t="str">
        <f>IF(ISNA(VLOOKUP(テーブル1[[#This Row],[内容]],ポケモンマスタ!A:A,1,FALSE)),"error","ok")</f>
        <v>ok</v>
      </c>
    </row>
    <row r="341" spans="1:7">
      <c r="A341" s="3">
        <v>340</v>
      </c>
      <c r="B341" s="3" t="s">
        <v>727</v>
      </c>
      <c r="C341" s="3" t="s">
        <v>729</v>
      </c>
      <c r="D341" s="3" t="s">
        <v>404</v>
      </c>
      <c r="F341" s="3" t="str">
        <f>IF(ISNA(VLOOKUP(テーブル1[[#This Row],[内容]],ポケモンマスタ!A:A,1,FALSE)),"error","ok")</f>
        <v>ok</v>
      </c>
    </row>
    <row r="342" spans="1:7">
      <c r="A342" s="3">
        <v>341</v>
      </c>
      <c r="B342" s="3" t="s">
        <v>732</v>
      </c>
      <c r="C342" s="3" t="s">
        <v>731</v>
      </c>
      <c r="D342" s="3" t="s">
        <v>404</v>
      </c>
      <c r="F342" s="3" t="str">
        <f>IF(ISNA(VLOOKUP(テーブル1[[#This Row],[内容]],ポケモンマスタ!A:A,1,FALSE)),"error","ok")</f>
        <v>ok</v>
      </c>
    </row>
    <row r="343" spans="1:7">
      <c r="A343" s="3">
        <v>342</v>
      </c>
      <c r="B343" s="3" t="s">
        <v>733</v>
      </c>
      <c r="C343" s="3" t="s">
        <v>735</v>
      </c>
      <c r="D343" s="3" t="s">
        <v>404</v>
      </c>
      <c r="E343" s="3" t="s">
        <v>736</v>
      </c>
      <c r="F343" s="3" t="str">
        <f>IF(ISNA(VLOOKUP(テーブル1[[#This Row],[内容]],ポケモンマスタ!A:A,1,FALSE)),"error","ok")</f>
        <v>ok</v>
      </c>
    </row>
    <row r="344" spans="1:7">
      <c r="A344" s="3">
        <v>343</v>
      </c>
      <c r="B344" s="3" t="s">
        <v>737</v>
      </c>
      <c r="C344" s="3" t="s">
        <v>149</v>
      </c>
      <c r="D344" s="3" t="s">
        <v>404</v>
      </c>
      <c r="E344" s="3" t="s">
        <v>738</v>
      </c>
      <c r="F344" s="3" t="str">
        <f>IF(ISNA(VLOOKUP(テーブル1[[#This Row],[内容]],ポケモンマスタ!A:A,1,FALSE)),"error","ok")</f>
        <v>ok</v>
      </c>
    </row>
    <row r="345" spans="1:7">
      <c r="A345" s="3">
        <v>344</v>
      </c>
      <c r="B345" s="3" t="s">
        <v>739</v>
      </c>
      <c r="C345" s="3" t="s">
        <v>380</v>
      </c>
      <c r="D345" s="3" t="s">
        <v>404</v>
      </c>
      <c r="F345" s="3" t="str">
        <f>IF(ISNA(VLOOKUP(テーブル1[[#This Row],[内容]],ポケモンマスタ!A:A,1,FALSE)),"error","ok")</f>
        <v>ok</v>
      </c>
    </row>
    <row r="346" spans="1:7">
      <c r="A346" s="3">
        <v>345</v>
      </c>
      <c r="B346" s="3" t="s">
        <v>740</v>
      </c>
      <c r="C346" s="3" t="s">
        <v>177</v>
      </c>
      <c r="D346" s="3" t="s">
        <v>404</v>
      </c>
      <c r="F346" s="3" t="str">
        <f>IF(ISNA(VLOOKUP(テーブル1[[#This Row],[内容]],ポケモンマスタ!A:A,1,FALSE)),"error","ok")</f>
        <v>ok</v>
      </c>
    </row>
    <row r="347" spans="1:7">
      <c r="A347" s="3">
        <v>346</v>
      </c>
      <c r="B347" s="3" t="s">
        <v>741</v>
      </c>
      <c r="C347" s="3" t="s">
        <v>16</v>
      </c>
      <c r="D347" s="3" t="s">
        <v>404</v>
      </c>
      <c r="E347" s="3" t="s">
        <v>742</v>
      </c>
      <c r="F347" s="3" t="str">
        <f>IF(ISNA(VLOOKUP(テーブル1[[#This Row],[内容]],ポケモンマスタ!A:A,1,FALSE)),"error","ok")</f>
        <v>ok</v>
      </c>
    </row>
    <row r="348" spans="1:7">
      <c r="A348" s="3">
        <v>347</v>
      </c>
      <c r="B348" s="3" t="s">
        <v>743</v>
      </c>
      <c r="C348" s="3" t="s">
        <v>25</v>
      </c>
      <c r="D348" s="3" t="s">
        <v>404</v>
      </c>
      <c r="F348" s="3" t="str">
        <f>IF(ISNA(VLOOKUP(テーブル1[[#This Row],[内容]],ポケモンマスタ!A:A,1,FALSE)),"error","ok")</f>
        <v>ok</v>
      </c>
    </row>
    <row r="349" spans="1:7">
      <c r="A349" s="3">
        <v>348</v>
      </c>
      <c r="B349" s="3" t="s">
        <v>744</v>
      </c>
      <c r="D349" s="3" t="s">
        <v>404</v>
      </c>
      <c r="E349" s="3" t="s">
        <v>745</v>
      </c>
      <c r="F349" s="3" t="str">
        <f>IF(ISNA(VLOOKUP(テーブル1[[#This Row],[内容]],ポケモンマスタ!A:A,1,FALSE)),"error","ok")</f>
        <v>error</v>
      </c>
    </row>
    <row r="350" spans="1:7">
      <c r="A350" s="3">
        <v>349</v>
      </c>
      <c r="B350" s="3" t="s">
        <v>746</v>
      </c>
      <c r="C350" s="3" t="s">
        <v>372</v>
      </c>
      <c r="D350" s="3" t="s">
        <v>404</v>
      </c>
      <c r="F350" s="3" t="str">
        <f>IF(ISNA(VLOOKUP(テーブル1[[#This Row],[内容]],ポケモンマスタ!A:A,1,FALSE)),"error","ok")</f>
        <v>ok</v>
      </c>
      <c r="G350" s="3" t="s">
        <v>746</v>
      </c>
    </row>
    <row r="351" spans="1:7">
      <c r="A351" s="3">
        <v>350</v>
      </c>
      <c r="B351" s="3" t="s">
        <v>746</v>
      </c>
      <c r="C351" s="3" t="s">
        <v>748</v>
      </c>
      <c r="D351" s="3" t="s">
        <v>404</v>
      </c>
      <c r="F351" s="3" t="str">
        <f>IF(ISNA(VLOOKUP(テーブル1[[#This Row],[内容]],ポケモンマスタ!A:A,1,FALSE)),"error","ok")</f>
        <v>ok</v>
      </c>
      <c r="G351" s="3" t="s">
        <v>746</v>
      </c>
    </row>
    <row r="352" spans="1:7">
      <c r="A352" s="3">
        <v>351</v>
      </c>
      <c r="B352" s="3" t="s">
        <v>746</v>
      </c>
      <c r="C352" s="3" t="s">
        <v>179</v>
      </c>
      <c r="D352" s="3" t="s">
        <v>404</v>
      </c>
      <c r="F352" s="3" t="str">
        <f>IF(ISNA(VLOOKUP(テーブル1[[#This Row],[内容]],ポケモンマスタ!A:A,1,FALSE)),"error","ok")</f>
        <v>ok</v>
      </c>
      <c r="G352" s="3" t="s">
        <v>746</v>
      </c>
    </row>
    <row r="353" spans="1:7">
      <c r="A353" s="3">
        <v>352</v>
      </c>
      <c r="B353" s="3" t="s">
        <v>746</v>
      </c>
      <c r="C353" s="3" t="s">
        <v>59</v>
      </c>
      <c r="D353" s="3" t="s">
        <v>404</v>
      </c>
      <c r="F353" s="3" t="str">
        <f>IF(ISNA(VLOOKUP(テーブル1[[#This Row],[内容]],ポケモンマスタ!A:A,1,FALSE)),"error","ok")</f>
        <v>ok</v>
      </c>
      <c r="G353" s="3" t="s">
        <v>746</v>
      </c>
    </row>
    <row r="354" spans="1:7">
      <c r="A354" s="3">
        <v>353</v>
      </c>
      <c r="B354" s="3" t="s">
        <v>746</v>
      </c>
      <c r="C354" s="3" t="s">
        <v>750</v>
      </c>
      <c r="D354" s="3" t="s">
        <v>404</v>
      </c>
      <c r="F354" s="3" t="str">
        <f>IF(ISNA(VLOOKUP(テーブル1[[#This Row],[内容]],ポケモンマスタ!A:A,1,FALSE)),"error","ok")</f>
        <v>ok</v>
      </c>
      <c r="G354" s="3" t="s">
        <v>746</v>
      </c>
    </row>
    <row r="355" spans="1:7">
      <c r="A355" s="3">
        <v>354</v>
      </c>
      <c r="B355" s="3" t="s">
        <v>746</v>
      </c>
      <c r="C355" s="3" t="s">
        <v>6</v>
      </c>
      <c r="D355" s="3" t="s">
        <v>404</v>
      </c>
      <c r="F355" s="3" t="str">
        <f>IF(ISNA(VLOOKUP(テーブル1[[#This Row],[内容]],ポケモンマスタ!A:A,1,FALSE)),"error","ok")</f>
        <v>ok</v>
      </c>
      <c r="G355" s="3" t="s">
        <v>746</v>
      </c>
    </row>
    <row r="356" spans="1:7">
      <c r="A356" s="3">
        <v>355</v>
      </c>
      <c r="B356" s="3" t="s">
        <v>751</v>
      </c>
      <c r="C356" s="3" t="s">
        <v>238</v>
      </c>
      <c r="D356" s="3" t="s">
        <v>404</v>
      </c>
      <c r="F356" s="3" t="str">
        <f>IF(ISNA(VLOOKUP(テーブル1[[#This Row],[内容]],ポケモンマスタ!A:A,1,FALSE)),"error","ok")</f>
        <v>ok</v>
      </c>
    </row>
    <row r="357" spans="1:7">
      <c r="A357" s="3">
        <v>356</v>
      </c>
      <c r="B357" s="3" t="s">
        <v>817</v>
      </c>
      <c r="D357" s="3" t="s">
        <v>404</v>
      </c>
      <c r="E357" s="3" t="s">
        <v>818</v>
      </c>
      <c r="F357" s="3" t="str">
        <f>IF(ISNA(VLOOKUP(テーブル1[[#This Row],[内容]],ポケモンマスタ!A:A,1,FALSE)),"error","ok")</f>
        <v>error</v>
      </c>
    </row>
    <row r="358" spans="1:7">
      <c r="A358" s="3">
        <v>357</v>
      </c>
      <c r="B358" s="3" t="s">
        <v>819</v>
      </c>
      <c r="C358" s="3" t="s">
        <v>116</v>
      </c>
      <c r="D358" s="3" t="s">
        <v>404</v>
      </c>
      <c r="E358" s="3" t="s">
        <v>820</v>
      </c>
      <c r="F358" s="3" t="str">
        <f>IF(ISNA(VLOOKUP(テーブル1[[#This Row],[内容]],ポケモンマスタ!A:A,1,FALSE)),"error","ok")</f>
        <v>ok</v>
      </c>
    </row>
    <row r="359" spans="1:7">
      <c r="A359" s="3">
        <v>358</v>
      </c>
      <c r="B359" s="3" t="s">
        <v>821</v>
      </c>
      <c r="C359" s="3" t="s">
        <v>188</v>
      </c>
      <c r="D359" s="3" t="s">
        <v>404</v>
      </c>
      <c r="E359" s="3" t="s">
        <v>826</v>
      </c>
      <c r="F359" s="3" t="str">
        <f>IF(ISNA(VLOOKUP(テーブル1[[#This Row],[内容]],ポケモンマスタ!A:A,1,FALSE)),"error","ok")</f>
        <v>ok</v>
      </c>
      <c r="G359" s="3" t="s">
        <v>821</v>
      </c>
    </row>
    <row r="360" spans="1:7">
      <c r="A360" s="3">
        <v>359</v>
      </c>
      <c r="B360" s="3" t="s">
        <v>821</v>
      </c>
      <c r="C360" s="3" t="s">
        <v>823</v>
      </c>
      <c r="D360" s="3" t="s">
        <v>404</v>
      </c>
      <c r="E360" s="3" t="s">
        <v>826</v>
      </c>
      <c r="F360" s="3" t="str">
        <f>IF(ISNA(VLOOKUP(テーブル1[[#This Row],[内容]],ポケモンマスタ!A:A,1,FALSE)),"error","ok")</f>
        <v>ok</v>
      </c>
      <c r="G360" s="3" t="s">
        <v>821</v>
      </c>
    </row>
    <row r="361" spans="1:7">
      <c r="A361" s="3">
        <v>360</v>
      </c>
      <c r="B361" s="3" t="s">
        <v>821</v>
      </c>
      <c r="C361" s="3" t="s">
        <v>825</v>
      </c>
      <c r="D361" s="3" t="s">
        <v>404</v>
      </c>
      <c r="E361" s="3" t="s">
        <v>826</v>
      </c>
      <c r="F361" s="3" t="str">
        <f>IF(ISNA(VLOOKUP(テーブル1[[#This Row],[内容]],ポケモンマスタ!A:A,1,FALSE)),"error","ok")</f>
        <v>ok</v>
      </c>
      <c r="G361" s="3" t="s">
        <v>821</v>
      </c>
    </row>
    <row r="362" spans="1:7">
      <c r="A362" s="3">
        <v>361</v>
      </c>
      <c r="B362" s="3" t="s">
        <v>827</v>
      </c>
      <c r="C362" s="3" t="s">
        <v>829</v>
      </c>
      <c r="D362" s="3" t="s">
        <v>404</v>
      </c>
      <c r="F362" s="3" t="str">
        <f>IF(ISNA(VLOOKUP(テーブル1[[#This Row],[内容]],ポケモンマスタ!A:A,1,FALSE)),"error","ok")</f>
        <v>ok</v>
      </c>
    </row>
    <row r="363" spans="1:7">
      <c r="A363" s="3">
        <v>362</v>
      </c>
      <c r="B363" s="3" t="s">
        <v>833</v>
      </c>
      <c r="C363" s="3" t="s">
        <v>831</v>
      </c>
      <c r="D363" s="3" t="s">
        <v>404</v>
      </c>
      <c r="E363" s="3" t="s">
        <v>832</v>
      </c>
      <c r="F363" s="3" t="str">
        <f>IF(ISNA(VLOOKUP(テーブル1[[#This Row],[内容]],ポケモンマスタ!A:A,1,FALSE)),"error","ok")</f>
        <v>ok</v>
      </c>
    </row>
    <row r="364" spans="1:7">
      <c r="A364" s="3">
        <v>363</v>
      </c>
      <c r="B364" s="3" t="s">
        <v>834</v>
      </c>
      <c r="C364" s="3" t="s">
        <v>836</v>
      </c>
      <c r="D364" s="3" t="s">
        <v>404</v>
      </c>
      <c r="E364" s="3" t="s">
        <v>837</v>
      </c>
      <c r="F364" s="3" t="str">
        <f>IF(ISNA(VLOOKUP(テーブル1[[#This Row],[内容]],ポケモンマスタ!A:A,1,FALSE)),"error","ok")</f>
        <v>ok</v>
      </c>
    </row>
    <row r="365" spans="1:7">
      <c r="A365" s="3">
        <v>364</v>
      </c>
      <c r="B365" s="3" t="s">
        <v>840</v>
      </c>
      <c r="C365" s="3" t="s">
        <v>839</v>
      </c>
      <c r="D365" s="3" t="s">
        <v>404</v>
      </c>
      <c r="F365" s="3" t="str">
        <f>IF(ISNA(VLOOKUP(テーブル1[[#This Row],[内容]],ポケモンマスタ!A:A,1,FALSE)),"error","ok")</f>
        <v>ok</v>
      </c>
    </row>
    <row r="366" spans="1:7">
      <c r="A366" s="3">
        <v>365</v>
      </c>
      <c r="B366" s="3" t="s">
        <v>841</v>
      </c>
      <c r="C366" s="3" t="s">
        <v>39</v>
      </c>
      <c r="D366" s="3" t="s">
        <v>404</v>
      </c>
      <c r="F366" s="3" t="str">
        <f>IF(ISNA(VLOOKUP(テーブル1[[#This Row],[内容]],ポケモンマスタ!A:A,1,FALSE)),"error","ok")</f>
        <v>ok</v>
      </c>
    </row>
    <row r="367" spans="1:7">
      <c r="A367" s="3">
        <v>366</v>
      </c>
      <c r="B367" s="3" t="s">
        <v>842</v>
      </c>
      <c r="C367" s="3" t="s">
        <v>179</v>
      </c>
      <c r="D367" s="3" t="s">
        <v>404</v>
      </c>
      <c r="F367" s="3" t="str">
        <f>IF(ISNA(VLOOKUP(テーブル1[[#This Row],[内容]],ポケモンマスタ!A:A,1,FALSE)),"error","ok")</f>
        <v>ok</v>
      </c>
    </row>
    <row r="368" spans="1:7">
      <c r="A368" s="3">
        <v>367</v>
      </c>
      <c r="B368" s="3" t="s">
        <v>843</v>
      </c>
      <c r="C368" s="3" t="s">
        <v>522</v>
      </c>
      <c r="D368" s="3" t="s">
        <v>404</v>
      </c>
      <c r="F368" s="3" t="str">
        <f>IF(ISNA(VLOOKUP(テーブル1[[#This Row],[内容]],ポケモンマスタ!A:A,1,FALSE)),"error","ok")</f>
        <v>ok</v>
      </c>
    </row>
    <row r="369" spans="1:7">
      <c r="A369" s="3">
        <v>368</v>
      </c>
      <c r="B369" s="3" t="s">
        <v>844</v>
      </c>
      <c r="C369" s="3" t="s">
        <v>116</v>
      </c>
      <c r="D369" s="3" t="s">
        <v>404</v>
      </c>
      <c r="F369" s="3" t="str">
        <f>IF(ISNA(VLOOKUP(テーブル1[[#This Row],[内容]],ポケモンマスタ!A:A,1,FALSE)),"error","ok")</f>
        <v>ok</v>
      </c>
      <c r="G369" s="3" t="s">
        <v>844</v>
      </c>
    </row>
    <row r="370" spans="1:7">
      <c r="A370" s="3">
        <v>369</v>
      </c>
      <c r="B370" s="3" t="s">
        <v>844</v>
      </c>
      <c r="C370" s="3" t="s">
        <v>268</v>
      </c>
      <c r="D370" s="3" t="s">
        <v>404</v>
      </c>
      <c r="F370" s="3" t="str">
        <f>IF(ISNA(VLOOKUP(テーブル1[[#This Row],[内容]],ポケモンマスタ!A:A,1,FALSE)),"error","ok")</f>
        <v>ok</v>
      </c>
      <c r="G370" s="3" t="s">
        <v>844</v>
      </c>
    </row>
    <row r="371" spans="1:7">
      <c r="A371" s="3">
        <v>370</v>
      </c>
      <c r="B371" s="3" t="s">
        <v>844</v>
      </c>
      <c r="C371" s="3" t="s">
        <v>186</v>
      </c>
      <c r="D371" s="3" t="s">
        <v>404</v>
      </c>
      <c r="F371" s="3" t="str">
        <f>IF(ISNA(VLOOKUP(テーブル1[[#This Row],[内容]],ポケモンマスタ!A:A,1,FALSE)),"error","ok")</f>
        <v>ok</v>
      </c>
      <c r="G371" s="3" t="s">
        <v>844</v>
      </c>
    </row>
    <row r="372" spans="1:7">
      <c r="A372" s="3">
        <v>371</v>
      </c>
      <c r="B372" s="3" t="s">
        <v>845</v>
      </c>
      <c r="C372" s="3" t="s">
        <v>522</v>
      </c>
      <c r="D372" s="3" t="s">
        <v>404</v>
      </c>
      <c r="F372" s="3" t="str">
        <f>IF(ISNA(VLOOKUP(テーブル1[[#This Row],[内容]],ポケモンマスタ!A:A,1,FALSE)),"error","ok")</f>
        <v>ok</v>
      </c>
    </row>
    <row r="373" spans="1:7">
      <c r="A373" s="3">
        <v>372</v>
      </c>
      <c r="B373" s="3" t="s">
        <v>846</v>
      </c>
      <c r="C373" s="3" t="s">
        <v>136</v>
      </c>
      <c r="D373" s="3" t="s">
        <v>404</v>
      </c>
      <c r="E373" s="3" t="s">
        <v>847</v>
      </c>
      <c r="F373" s="3" t="str">
        <f>IF(ISNA(VLOOKUP(テーブル1[[#This Row],[内容]],ポケモンマスタ!A:A,1,FALSE)),"error","ok")</f>
        <v>ok</v>
      </c>
    </row>
    <row r="374" spans="1:7">
      <c r="A374" s="3">
        <v>373</v>
      </c>
      <c r="B374" s="3" t="s">
        <v>848</v>
      </c>
      <c r="C374" s="3" t="s">
        <v>34</v>
      </c>
      <c r="D374" s="3" t="s">
        <v>404</v>
      </c>
      <c r="F374" s="3" t="str">
        <f>IF(ISNA(VLOOKUP(テーブル1[[#This Row],[内容]],ポケモンマスタ!A:A,1,FALSE)),"error","ok")</f>
        <v>ok</v>
      </c>
    </row>
    <row r="375" spans="1:7">
      <c r="A375" s="3">
        <v>374</v>
      </c>
      <c r="B375" s="3" t="s">
        <v>849</v>
      </c>
      <c r="C375" s="3" t="s">
        <v>851</v>
      </c>
      <c r="D375" s="3" t="s">
        <v>404</v>
      </c>
      <c r="F375" s="3" t="str">
        <f>IF(ISNA(VLOOKUP(テーブル1[[#This Row],[内容]],ポケモンマスタ!A:A,1,FALSE)),"error","ok")</f>
        <v>ok</v>
      </c>
    </row>
  </sheetData>
  <phoneticPr fontId="2"/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D128D-4B2E-40AF-AE98-C8E0A421A3C9}">
  <sheetPr>
    <tabColor theme="0"/>
  </sheetPr>
  <dimension ref="A1:H208"/>
  <sheetViews>
    <sheetView workbookViewId="0">
      <selection activeCell="K9" sqref="K9"/>
    </sheetView>
  </sheetViews>
  <sheetFormatPr defaultRowHeight="18"/>
  <cols>
    <col min="1" max="1" width="16.33203125" bestFit="1" customWidth="1"/>
    <col min="2" max="3" width="12.4140625" bestFit="1" customWidth="1"/>
    <col min="4" max="4" width="8.58203125" bestFit="1" customWidth="1"/>
    <col min="5" max="5" width="5" bestFit="1" customWidth="1"/>
    <col min="7" max="7" width="16.33203125" bestFit="1" customWidth="1"/>
    <col min="8" max="8" width="26.1640625" bestFit="1" customWidth="1"/>
  </cols>
  <sheetData>
    <row r="1" spans="1:8">
      <c r="A1" s="1" t="s">
        <v>367</v>
      </c>
      <c r="B1" s="1" t="s">
        <v>467</v>
      </c>
      <c r="G1" s="1" t="s">
        <v>366</v>
      </c>
      <c r="H1" t="s">
        <v>859</v>
      </c>
    </row>
    <row r="2" spans="1:8">
      <c r="A2" s="1" t="s">
        <v>366</v>
      </c>
      <c r="B2" t="s">
        <v>401</v>
      </c>
      <c r="C2" t="s">
        <v>403</v>
      </c>
      <c r="D2" t="s">
        <v>399</v>
      </c>
      <c r="E2" t="s">
        <v>364</v>
      </c>
      <c r="G2" s="2" t="s">
        <v>734</v>
      </c>
    </row>
    <row r="3" spans="1:8">
      <c r="A3" s="2" t="s">
        <v>734</v>
      </c>
      <c r="C3">
        <v>1</v>
      </c>
      <c r="E3">
        <v>1</v>
      </c>
      <c r="G3" s="2" t="s">
        <v>767</v>
      </c>
      <c r="H3">
        <v>1</v>
      </c>
    </row>
    <row r="4" spans="1:8">
      <c r="A4" s="2" t="s">
        <v>767</v>
      </c>
      <c r="C4">
        <v>1</v>
      </c>
      <c r="E4">
        <v>1</v>
      </c>
      <c r="G4" s="2" t="s">
        <v>770</v>
      </c>
      <c r="H4">
        <v>1</v>
      </c>
    </row>
    <row r="5" spans="1:8">
      <c r="A5" s="2" t="s">
        <v>770</v>
      </c>
      <c r="C5">
        <v>1</v>
      </c>
      <c r="E5">
        <v>1</v>
      </c>
      <c r="G5" s="2" t="s">
        <v>773</v>
      </c>
      <c r="H5">
        <v>1</v>
      </c>
    </row>
    <row r="6" spans="1:8">
      <c r="A6" s="2" t="s">
        <v>773</v>
      </c>
      <c r="C6">
        <v>1</v>
      </c>
      <c r="E6">
        <v>1</v>
      </c>
      <c r="G6" s="2" t="s">
        <v>187</v>
      </c>
      <c r="H6">
        <v>3</v>
      </c>
    </row>
    <row r="7" spans="1:8">
      <c r="A7" s="2" t="s">
        <v>187</v>
      </c>
      <c r="B7">
        <v>3</v>
      </c>
      <c r="C7">
        <v>6</v>
      </c>
      <c r="E7">
        <v>9</v>
      </c>
      <c r="G7" s="2" t="s">
        <v>487</v>
      </c>
    </row>
    <row r="8" spans="1:8">
      <c r="A8" s="2" t="s">
        <v>487</v>
      </c>
      <c r="C8">
        <v>1</v>
      </c>
      <c r="E8">
        <v>1</v>
      </c>
      <c r="G8" s="2" t="s">
        <v>353</v>
      </c>
    </row>
    <row r="9" spans="1:8">
      <c r="A9" s="2" t="s">
        <v>353</v>
      </c>
      <c r="B9">
        <v>1</v>
      </c>
      <c r="C9">
        <v>1</v>
      </c>
      <c r="E9">
        <v>2</v>
      </c>
      <c r="G9" s="2" t="s">
        <v>99</v>
      </c>
      <c r="H9">
        <v>1</v>
      </c>
    </row>
    <row r="10" spans="1:8">
      <c r="A10" s="2" t="s">
        <v>99</v>
      </c>
      <c r="B10">
        <v>1</v>
      </c>
      <c r="E10">
        <v>1</v>
      </c>
      <c r="G10" s="2" t="s">
        <v>695</v>
      </c>
    </row>
    <row r="11" spans="1:8">
      <c r="A11" s="2" t="s">
        <v>695</v>
      </c>
      <c r="C11">
        <v>1</v>
      </c>
      <c r="E11">
        <v>1</v>
      </c>
      <c r="G11" s="2" t="s">
        <v>82</v>
      </c>
      <c r="H11">
        <v>1</v>
      </c>
    </row>
    <row r="12" spans="1:8">
      <c r="A12" s="2" t="s">
        <v>82</v>
      </c>
      <c r="B12">
        <v>1</v>
      </c>
      <c r="E12">
        <v>1</v>
      </c>
      <c r="G12" s="2" t="s">
        <v>261</v>
      </c>
    </row>
    <row r="13" spans="1:8">
      <c r="A13" s="2" t="s">
        <v>261</v>
      </c>
      <c r="B13">
        <v>2</v>
      </c>
      <c r="E13">
        <v>2</v>
      </c>
      <c r="G13" s="2" t="s">
        <v>680</v>
      </c>
      <c r="H13">
        <v>1</v>
      </c>
    </row>
    <row r="14" spans="1:8">
      <c r="A14" s="2" t="s">
        <v>680</v>
      </c>
      <c r="C14">
        <v>1</v>
      </c>
      <c r="E14">
        <v>1</v>
      </c>
      <c r="G14" s="2" t="s">
        <v>683</v>
      </c>
    </row>
    <row r="15" spans="1:8">
      <c r="A15" s="2" t="s">
        <v>683</v>
      </c>
      <c r="C15">
        <v>1</v>
      </c>
      <c r="E15">
        <v>1</v>
      </c>
      <c r="G15" s="2" t="s">
        <v>434</v>
      </c>
    </row>
    <row r="16" spans="1:8">
      <c r="A16" s="2" t="s">
        <v>434</v>
      </c>
      <c r="C16">
        <v>1</v>
      </c>
      <c r="E16">
        <v>1</v>
      </c>
      <c r="G16" s="2" t="s">
        <v>74</v>
      </c>
      <c r="H16">
        <v>1</v>
      </c>
    </row>
    <row r="17" spans="1:8">
      <c r="A17" s="2" t="s">
        <v>74</v>
      </c>
      <c r="B17">
        <v>1</v>
      </c>
      <c r="C17">
        <v>1</v>
      </c>
      <c r="E17">
        <v>2</v>
      </c>
      <c r="G17" s="2" t="s">
        <v>139</v>
      </c>
      <c r="H17">
        <v>1</v>
      </c>
    </row>
    <row r="18" spans="1:8">
      <c r="A18" s="2" t="s">
        <v>139</v>
      </c>
      <c r="B18">
        <v>1</v>
      </c>
      <c r="E18">
        <v>1</v>
      </c>
      <c r="G18" s="2" t="s">
        <v>293</v>
      </c>
      <c r="H18">
        <v>1</v>
      </c>
    </row>
    <row r="19" spans="1:8">
      <c r="A19" s="2" t="s">
        <v>293</v>
      </c>
      <c r="B19">
        <v>1</v>
      </c>
      <c r="E19">
        <v>1</v>
      </c>
      <c r="G19" s="2" t="s">
        <v>233</v>
      </c>
      <c r="H19">
        <v>1</v>
      </c>
    </row>
    <row r="20" spans="1:8">
      <c r="A20" s="2" t="s">
        <v>233</v>
      </c>
      <c r="B20">
        <v>2</v>
      </c>
      <c r="E20">
        <v>2</v>
      </c>
      <c r="G20" s="2" t="s">
        <v>66</v>
      </c>
      <c r="H20">
        <v>1</v>
      </c>
    </row>
    <row r="21" spans="1:8">
      <c r="A21" s="2" t="s">
        <v>66</v>
      </c>
      <c r="B21">
        <v>1</v>
      </c>
      <c r="E21">
        <v>1</v>
      </c>
      <c r="G21" s="2" t="s">
        <v>409</v>
      </c>
    </row>
    <row r="22" spans="1:8">
      <c r="A22" s="2" t="s">
        <v>409</v>
      </c>
      <c r="C22">
        <v>1</v>
      </c>
      <c r="E22">
        <v>1</v>
      </c>
      <c r="G22" s="2" t="s">
        <v>68</v>
      </c>
      <c r="H22">
        <v>2</v>
      </c>
    </row>
    <row r="23" spans="1:8">
      <c r="A23" s="2" t="s">
        <v>68</v>
      </c>
      <c r="B23">
        <v>2</v>
      </c>
      <c r="E23">
        <v>2</v>
      </c>
      <c r="G23" s="2" t="s">
        <v>191</v>
      </c>
      <c r="H23">
        <v>1</v>
      </c>
    </row>
    <row r="24" spans="1:8">
      <c r="A24" s="2" t="s">
        <v>191</v>
      </c>
      <c r="B24">
        <v>1</v>
      </c>
      <c r="E24">
        <v>1</v>
      </c>
      <c r="G24" s="2" t="s">
        <v>754</v>
      </c>
      <c r="H24">
        <v>1</v>
      </c>
    </row>
    <row r="25" spans="1:8">
      <c r="A25" s="2" t="s">
        <v>754</v>
      </c>
      <c r="C25">
        <v>1</v>
      </c>
      <c r="E25">
        <v>1</v>
      </c>
      <c r="G25" s="2" t="s">
        <v>80</v>
      </c>
      <c r="H25">
        <v>5</v>
      </c>
    </row>
    <row r="26" spans="1:8">
      <c r="A26" s="2" t="s">
        <v>80</v>
      </c>
      <c r="B26">
        <v>5</v>
      </c>
      <c r="C26">
        <v>1</v>
      </c>
      <c r="E26">
        <v>6</v>
      </c>
      <c r="G26" s="2" t="s">
        <v>176</v>
      </c>
      <c r="H26">
        <v>2</v>
      </c>
    </row>
    <row r="27" spans="1:8">
      <c r="A27" s="2" t="s">
        <v>176</v>
      </c>
      <c r="B27">
        <v>2</v>
      </c>
      <c r="C27">
        <v>1</v>
      </c>
      <c r="E27">
        <v>3</v>
      </c>
      <c r="G27" s="2" t="s">
        <v>231</v>
      </c>
    </row>
    <row r="28" spans="1:8">
      <c r="A28" s="2" t="s">
        <v>231</v>
      </c>
      <c r="B28">
        <v>1</v>
      </c>
      <c r="E28">
        <v>1</v>
      </c>
      <c r="G28" s="2" t="s">
        <v>110</v>
      </c>
    </row>
    <row r="29" spans="1:8">
      <c r="A29" s="2" t="s">
        <v>110</v>
      </c>
      <c r="B29">
        <v>1</v>
      </c>
      <c r="E29">
        <v>1</v>
      </c>
      <c r="G29" s="2" t="s">
        <v>275</v>
      </c>
      <c r="H29">
        <v>1</v>
      </c>
    </row>
    <row r="30" spans="1:8">
      <c r="A30" s="2" t="s">
        <v>275</v>
      </c>
      <c r="B30">
        <v>1</v>
      </c>
      <c r="E30">
        <v>1</v>
      </c>
      <c r="G30" s="2" t="s">
        <v>850</v>
      </c>
    </row>
    <row r="31" spans="1:8">
      <c r="A31" s="2" t="s">
        <v>850</v>
      </c>
      <c r="C31">
        <v>1</v>
      </c>
      <c r="E31">
        <v>1</v>
      </c>
      <c r="G31" s="2" t="s">
        <v>769</v>
      </c>
      <c r="H31">
        <v>1</v>
      </c>
    </row>
    <row r="32" spans="1:8">
      <c r="A32" s="2" t="s">
        <v>769</v>
      </c>
      <c r="C32">
        <v>1</v>
      </c>
      <c r="E32">
        <v>1</v>
      </c>
      <c r="G32" s="2" t="s">
        <v>63</v>
      </c>
    </row>
    <row r="33" spans="1:8">
      <c r="A33" s="2" t="s">
        <v>63</v>
      </c>
      <c r="B33">
        <v>1</v>
      </c>
      <c r="E33">
        <v>1</v>
      </c>
      <c r="G33" s="2" t="s">
        <v>716</v>
      </c>
    </row>
    <row r="34" spans="1:8">
      <c r="A34" s="2" t="s">
        <v>716</v>
      </c>
      <c r="C34">
        <v>1</v>
      </c>
      <c r="E34">
        <v>1</v>
      </c>
      <c r="G34" s="2" t="s">
        <v>170</v>
      </c>
      <c r="H34">
        <v>1</v>
      </c>
    </row>
    <row r="35" spans="1:8">
      <c r="A35" s="2" t="s">
        <v>170</v>
      </c>
      <c r="B35">
        <v>1</v>
      </c>
      <c r="C35">
        <v>1</v>
      </c>
      <c r="E35">
        <v>2</v>
      </c>
      <c r="G35" s="2" t="s">
        <v>193</v>
      </c>
      <c r="H35">
        <v>1</v>
      </c>
    </row>
    <row r="36" spans="1:8">
      <c r="A36" s="2" t="s">
        <v>193</v>
      </c>
      <c r="B36">
        <v>2</v>
      </c>
      <c r="E36">
        <v>2</v>
      </c>
      <c r="G36" s="2" t="s">
        <v>394</v>
      </c>
    </row>
    <row r="37" spans="1:8">
      <c r="A37" s="2" t="s">
        <v>394</v>
      </c>
      <c r="D37">
        <v>1</v>
      </c>
      <c r="E37">
        <v>1</v>
      </c>
      <c r="G37" s="2" t="s">
        <v>285</v>
      </c>
      <c r="H37">
        <v>1</v>
      </c>
    </row>
    <row r="38" spans="1:8">
      <c r="A38" s="2" t="s">
        <v>285</v>
      </c>
      <c r="B38">
        <v>1</v>
      </c>
      <c r="E38">
        <v>1</v>
      </c>
      <c r="G38" s="2" t="s">
        <v>778</v>
      </c>
    </row>
    <row r="39" spans="1:8">
      <c r="A39" s="2" t="s">
        <v>778</v>
      </c>
      <c r="C39">
        <v>1</v>
      </c>
      <c r="E39">
        <v>1</v>
      </c>
      <c r="G39" s="2" t="s">
        <v>772</v>
      </c>
    </row>
    <row r="40" spans="1:8">
      <c r="A40" s="2" t="s">
        <v>772</v>
      </c>
      <c r="C40">
        <v>1</v>
      </c>
      <c r="E40">
        <v>1</v>
      </c>
      <c r="G40" s="2" t="s">
        <v>312</v>
      </c>
      <c r="H40">
        <v>1</v>
      </c>
    </row>
    <row r="41" spans="1:8">
      <c r="A41" s="2" t="s">
        <v>312</v>
      </c>
      <c r="B41">
        <v>1</v>
      </c>
      <c r="C41">
        <v>1</v>
      </c>
      <c r="E41">
        <v>2</v>
      </c>
      <c r="G41" s="2" t="s">
        <v>765</v>
      </c>
      <c r="H41">
        <v>1</v>
      </c>
    </row>
    <row r="42" spans="1:8">
      <c r="A42" s="2" t="s">
        <v>765</v>
      </c>
      <c r="C42">
        <v>1</v>
      </c>
      <c r="E42">
        <v>1</v>
      </c>
      <c r="G42" s="2" t="s">
        <v>33</v>
      </c>
      <c r="H42">
        <v>1</v>
      </c>
    </row>
    <row r="43" spans="1:8">
      <c r="A43" s="2" t="s">
        <v>33</v>
      </c>
      <c r="B43">
        <v>1</v>
      </c>
      <c r="C43">
        <v>3</v>
      </c>
      <c r="E43">
        <v>4</v>
      </c>
      <c r="G43" s="2" t="s">
        <v>463</v>
      </c>
      <c r="H43">
        <v>1</v>
      </c>
    </row>
    <row r="44" spans="1:8">
      <c r="A44" s="2" t="s">
        <v>463</v>
      </c>
      <c r="B44">
        <v>1</v>
      </c>
      <c r="E44">
        <v>1</v>
      </c>
      <c r="G44" s="2" t="s">
        <v>199</v>
      </c>
      <c r="H44">
        <v>1</v>
      </c>
    </row>
    <row r="45" spans="1:8">
      <c r="A45" s="2" t="s">
        <v>199</v>
      </c>
      <c r="B45">
        <v>1</v>
      </c>
      <c r="E45">
        <v>1</v>
      </c>
      <c r="G45" s="2" t="s">
        <v>279</v>
      </c>
      <c r="H45">
        <v>1</v>
      </c>
    </row>
    <row r="46" spans="1:8">
      <c r="A46" s="2" t="s">
        <v>279</v>
      </c>
      <c r="B46">
        <v>1</v>
      </c>
      <c r="E46">
        <v>1</v>
      </c>
      <c r="G46" s="2" t="s">
        <v>766</v>
      </c>
      <c r="H46">
        <v>1</v>
      </c>
    </row>
    <row r="47" spans="1:8">
      <c r="A47" s="2" t="s">
        <v>766</v>
      </c>
      <c r="C47">
        <v>1</v>
      </c>
      <c r="E47">
        <v>1</v>
      </c>
      <c r="G47" s="2" t="s">
        <v>333</v>
      </c>
    </row>
    <row r="48" spans="1:8">
      <c r="A48" s="2" t="s">
        <v>333</v>
      </c>
      <c r="B48">
        <v>1</v>
      </c>
      <c r="E48">
        <v>1</v>
      </c>
      <c r="G48" s="2" t="s">
        <v>295</v>
      </c>
    </row>
    <row r="49" spans="1:8">
      <c r="A49" s="2" t="s">
        <v>295</v>
      </c>
      <c r="B49">
        <v>1</v>
      </c>
      <c r="E49">
        <v>1</v>
      </c>
      <c r="G49" s="2" t="s">
        <v>26</v>
      </c>
      <c r="H49">
        <v>1</v>
      </c>
    </row>
    <row r="50" spans="1:8">
      <c r="A50" s="2" t="s">
        <v>26</v>
      </c>
      <c r="B50">
        <v>1</v>
      </c>
      <c r="E50">
        <v>1</v>
      </c>
      <c r="G50" s="2" t="s">
        <v>5</v>
      </c>
      <c r="H50">
        <v>4</v>
      </c>
    </row>
    <row r="51" spans="1:8">
      <c r="A51" s="2" t="s">
        <v>5</v>
      </c>
      <c r="B51">
        <v>4</v>
      </c>
      <c r="C51">
        <v>3</v>
      </c>
      <c r="E51">
        <v>7</v>
      </c>
      <c r="G51" s="2" t="s">
        <v>830</v>
      </c>
    </row>
    <row r="52" spans="1:8">
      <c r="A52" s="2" t="s">
        <v>830</v>
      </c>
      <c r="C52">
        <v>1</v>
      </c>
      <c r="E52">
        <v>1</v>
      </c>
      <c r="G52" s="2" t="s">
        <v>148</v>
      </c>
    </row>
    <row r="53" spans="1:8">
      <c r="A53" s="2" t="s">
        <v>148</v>
      </c>
      <c r="B53">
        <v>1</v>
      </c>
      <c r="C53">
        <v>2</v>
      </c>
      <c r="E53">
        <v>3</v>
      </c>
      <c r="G53" s="2" t="s">
        <v>254</v>
      </c>
      <c r="H53">
        <v>1</v>
      </c>
    </row>
    <row r="54" spans="1:8">
      <c r="A54" s="2" t="s">
        <v>254</v>
      </c>
      <c r="B54">
        <v>1</v>
      </c>
      <c r="E54">
        <v>1</v>
      </c>
      <c r="G54" s="2" t="s">
        <v>256</v>
      </c>
      <c r="H54">
        <v>2</v>
      </c>
    </row>
    <row r="55" spans="1:8">
      <c r="A55" s="2" t="s">
        <v>256</v>
      </c>
      <c r="B55">
        <v>1</v>
      </c>
      <c r="C55">
        <v>1</v>
      </c>
      <c r="E55">
        <v>2</v>
      </c>
      <c r="G55" s="2" t="s">
        <v>466</v>
      </c>
      <c r="H55">
        <v>1</v>
      </c>
    </row>
    <row r="56" spans="1:8">
      <c r="A56" s="2" t="s">
        <v>466</v>
      </c>
      <c r="B56">
        <v>1</v>
      </c>
      <c r="E56">
        <v>1</v>
      </c>
      <c r="G56" s="2" t="s">
        <v>347</v>
      </c>
      <c r="H56">
        <v>1</v>
      </c>
    </row>
    <row r="57" spans="1:8">
      <c r="A57" s="2" t="s">
        <v>347</v>
      </c>
      <c r="B57">
        <v>1</v>
      </c>
      <c r="C57">
        <v>1</v>
      </c>
      <c r="E57">
        <v>2</v>
      </c>
      <c r="G57" s="2" t="s">
        <v>46</v>
      </c>
    </row>
    <row r="58" spans="1:8">
      <c r="A58" s="2" t="s">
        <v>46</v>
      </c>
      <c r="B58">
        <v>1</v>
      </c>
      <c r="C58">
        <v>1</v>
      </c>
      <c r="E58">
        <v>2</v>
      </c>
      <c r="G58" s="2" t="s">
        <v>709</v>
      </c>
      <c r="H58">
        <v>1</v>
      </c>
    </row>
    <row r="59" spans="1:8">
      <c r="A59" s="2" t="s">
        <v>709</v>
      </c>
      <c r="C59">
        <v>1</v>
      </c>
      <c r="E59">
        <v>1</v>
      </c>
      <c r="G59" s="2" t="s">
        <v>239</v>
      </c>
      <c r="H59">
        <v>1</v>
      </c>
    </row>
    <row r="60" spans="1:8">
      <c r="A60" s="2" t="s">
        <v>239</v>
      </c>
      <c r="B60">
        <v>1</v>
      </c>
      <c r="C60">
        <v>3</v>
      </c>
      <c r="E60">
        <v>4</v>
      </c>
      <c r="G60" s="2" t="s">
        <v>756</v>
      </c>
    </row>
    <row r="61" spans="1:8">
      <c r="A61" s="2" t="s">
        <v>756</v>
      </c>
      <c r="C61">
        <v>1</v>
      </c>
      <c r="E61">
        <v>1</v>
      </c>
      <c r="G61" s="2" t="s">
        <v>195</v>
      </c>
      <c r="H61">
        <v>2</v>
      </c>
    </row>
    <row r="62" spans="1:8">
      <c r="A62" s="2" t="s">
        <v>195</v>
      </c>
      <c r="B62">
        <v>2</v>
      </c>
      <c r="E62">
        <v>2</v>
      </c>
      <c r="G62" s="2" t="s">
        <v>271</v>
      </c>
      <c r="H62">
        <v>1</v>
      </c>
    </row>
    <row r="63" spans="1:8">
      <c r="A63" s="2" t="s">
        <v>271</v>
      </c>
      <c r="B63">
        <v>1</v>
      </c>
      <c r="C63">
        <v>3</v>
      </c>
      <c r="E63">
        <v>4</v>
      </c>
      <c r="G63" s="2" t="s">
        <v>301</v>
      </c>
      <c r="H63">
        <v>1</v>
      </c>
    </row>
    <row r="64" spans="1:8">
      <c r="A64" s="2" t="s">
        <v>301</v>
      </c>
      <c r="B64">
        <v>1</v>
      </c>
      <c r="E64">
        <v>1</v>
      </c>
      <c r="G64" s="2" t="s">
        <v>728</v>
      </c>
    </row>
    <row r="65" spans="1:8">
      <c r="A65" s="2" t="s">
        <v>728</v>
      </c>
      <c r="C65">
        <v>1</v>
      </c>
      <c r="E65">
        <v>1</v>
      </c>
      <c r="G65" s="2" t="s">
        <v>50</v>
      </c>
    </row>
    <row r="66" spans="1:8">
      <c r="A66" s="2" t="s">
        <v>50</v>
      </c>
      <c r="B66">
        <v>1</v>
      </c>
      <c r="E66">
        <v>1</v>
      </c>
      <c r="G66" s="2" t="s">
        <v>125</v>
      </c>
    </row>
    <row r="67" spans="1:8">
      <c r="A67" s="2" t="s">
        <v>125</v>
      </c>
      <c r="B67">
        <v>1</v>
      </c>
      <c r="E67">
        <v>1</v>
      </c>
      <c r="G67" s="2" t="s">
        <v>178</v>
      </c>
      <c r="H67">
        <v>4</v>
      </c>
    </row>
    <row r="68" spans="1:8">
      <c r="A68" s="2" t="s">
        <v>178</v>
      </c>
      <c r="B68">
        <v>3</v>
      </c>
      <c r="C68">
        <v>5</v>
      </c>
      <c r="E68">
        <v>8</v>
      </c>
      <c r="G68" s="2" t="s">
        <v>423</v>
      </c>
    </row>
    <row r="69" spans="1:8">
      <c r="A69" s="2" t="s">
        <v>423</v>
      </c>
      <c r="B69">
        <v>1</v>
      </c>
      <c r="C69">
        <v>2</v>
      </c>
      <c r="E69">
        <v>3</v>
      </c>
      <c r="G69" s="2" t="s">
        <v>119</v>
      </c>
      <c r="H69">
        <v>1</v>
      </c>
    </row>
    <row r="70" spans="1:8">
      <c r="A70" s="2" t="s">
        <v>119</v>
      </c>
      <c r="B70">
        <v>1</v>
      </c>
      <c r="E70">
        <v>1</v>
      </c>
      <c r="G70" s="2" t="s">
        <v>759</v>
      </c>
    </row>
    <row r="71" spans="1:8">
      <c r="A71" s="2" t="s">
        <v>759</v>
      </c>
      <c r="C71">
        <v>1</v>
      </c>
      <c r="E71">
        <v>1</v>
      </c>
      <c r="G71" s="2" t="s">
        <v>491</v>
      </c>
    </row>
    <row r="72" spans="1:8">
      <c r="A72" s="2" t="s">
        <v>491</v>
      </c>
      <c r="C72">
        <v>1</v>
      </c>
      <c r="E72">
        <v>1</v>
      </c>
      <c r="G72" s="2" t="s">
        <v>758</v>
      </c>
    </row>
    <row r="73" spans="1:8">
      <c r="A73" s="2" t="s">
        <v>758</v>
      </c>
      <c r="C73">
        <v>1</v>
      </c>
      <c r="E73">
        <v>1</v>
      </c>
      <c r="G73" s="2" t="s">
        <v>828</v>
      </c>
    </row>
    <row r="74" spans="1:8">
      <c r="A74" s="2" t="s">
        <v>828</v>
      </c>
      <c r="C74">
        <v>1</v>
      </c>
      <c r="E74">
        <v>1</v>
      </c>
      <c r="G74" s="2" t="s">
        <v>462</v>
      </c>
    </row>
    <row r="75" spans="1:8">
      <c r="A75" s="2" t="s">
        <v>462</v>
      </c>
      <c r="B75">
        <v>1</v>
      </c>
      <c r="E75">
        <v>1</v>
      </c>
      <c r="G75" s="2" t="s">
        <v>78</v>
      </c>
      <c r="H75">
        <v>1</v>
      </c>
    </row>
    <row r="76" spans="1:8">
      <c r="A76" s="2" t="s">
        <v>78</v>
      </c>
      <c r="B76">
        <v>1</v>
      </c>
      <c r="E76">
        <v>1</v>
      </c>
      <c r="G76" s="2" t="s">
        <v>339</v>
      </c>
    </row>
    <row r="77" spans="1:8">
      <c r="A77" s="2" t="s">
        <v>339</v>
      </c>
      <c r="B77">
        <v>1</v>
      </c>
      <c r="E77">
        <v>1</v>
      </c>
      <c r="G77" s="2" t="s">
        <v>20</v>
      </c>
      <c r="H77">
        <v>3</v>
      </c>
    </row>
    <row r="78" spans="1:8">
      <c r="A78" s="2" t="s">
        <v>20</v>
      </c>
      <c r="B78">
        <v>2</v>
      </c>
      <c r="C78">
        <v>1</v>
      </c>
      <c r="E78">
        <v>3</v>
      </c>
      <c r="G78" s="2" t="s">
        <v>343</v>
      </c>
      <c r="H78">
        <v>1</v>
      </c>
    </row>
    <row r="79" spans="1:8">
      <c r="A79" s="2" t="s">
        <v>343</v>
      </c>
      <c r="B79">
        <v>1</v>
      </c>
      <c r="C79">
        <v>1</v>
      </c>
      <c r="E79">
        <v>2</v>
      </c>
      <c r="G79" s="2" t="s">
        <v>121</v>
      </c>
      <c r="H79">
        <v>4</v>
      </c>
    </row>
    <row r="80" spans="1:8">
      <c r="A80" s="2" t="s">
        <v>121</v>
      </c>
      <c r="B80">
        <v>1</v>
      </c>
      <c r="C80">
        <v>3</v>
      </c>
      <c r="E80">
        <v>4</v>
      </c>
      <c r="G80" s="2" t="s">
        <v>35</v>
      </c>
    </row>
    <row r="81" spans="1:8">
      <c r="A81" s="2" t="s">
        <v>35</v>
      </c>
      <c r="B81">
        <v>1</v>
      </c>
      <c r="E81">
        <v>1</v>
      </c>
      <c r="G81" s="2" t="s">
        <v>776</v>
      </c>
      <c r="H81">
        <v>1</v>
      </c>
    </row>
    <row r="82" spans="1:8">
      <c r="A82" s="2" t="s">
        <v>776</v>
      </c>
      <c r="C82">
        <v>1</v>
      </c>
      <c r="E82">
        <v>1</v>
      </c>
      <c r="G82" s="2" t="s">
        <v>227</v>
      </c>
    </row>
    <row r="83" spans="1:8">
      <c r="A83" s="2" t="s">
        <v>227</v>
      </c>
      <c r="B83">
        <v>1</v>
      </c>
      <c r="E83">
        <v>1</v>
      </c>
      <c r="G83" s="2" t="s">
        <v>430</v>
      </c>
    </row>
    <row r="84" spans="1:8">
      <c r="A84" s="2" t="s">
        <v>430</v>
      </c>
      <c r="C84">
        <v>2</v>
      </c>
      <c r="E84">
        <v>2</v>
      </c>
      <c r="G84" s="2" t="s">
        <v>322</v>
      </c>
    </row>
    <row r="85" spans="1:8">
      <c r="A85" s="2" t="s">
        <v>322</v>
      </c>
      <c r="B85">
        <v>1</v>
      </c>
      <c r="E85">
        <v>1</v>
      </c>
      <c r="G85" s="2" t="s">
        <v>127</v>
      </c>
    </row>
    <row r="86" spans="1:8">
      <c r="A86" s="2" t="s">
        <v>127</v>
      </c>
      <c r="B86">
        <v>1</v>
      </c>
      <c r="E86">
        <v>1</v>
      </c>
      <c r="G86" s="2" t="s">
        <v>328</v>
      </c>
      <c r="H86">
        <v>1</v>
      </c>
    </row>
    <row r="87" spans="1:8">
      <c r="A87" s="2" t="s">
        <v>328</v>
      </c>
      <c r="B87">
        <v>1</v>
      </c>
      <c r="E87">
        <v>1</v>
      </c>
      <c r="G87" s="2" t="s">
        <v>838</v>
      </c>
    </row>
    <row r="88" spans="1:8">
      <c r="A88" s="2" t="s">
        <v>838</v>
      </c>
      <c r="C88">
        <v>1</v>
      </c>
      <c r="E88">
        <v>1</v>
      </c>
      <c r="G88" s="2" t="s">
        <v>135</v>
      </c>
      <c r="H88">
        <v>1</v>
      </c>
    </row>
    <row r="89" spans="1:8">
      <c r="A89" s="2" t="s">
        <v>135</v>
      </c>
      <c r="B89">
        <v>1</v>
      </c>
      <c r="C89">
        <v>1</v>
      </c>
      <c r="D89">
        <v>1</v>
      </c>
      <c r="E89">
        <v>3</v>
      </c>
      <c r="G89" s="2" t="s">
        <v>267</v>
      </c>
      <c r="H89">
        <v>1</v>
      </c>
    </row>
    <row r="90" spans="1:8">
      <c r="A90" s="2" t="s">
        <v>267</v>
      </c>
      <c r="B90">
        <v>1</v>
      </c>
      <c r="C90">
        <v>1</v>
      </c>
      <c r="E90">
        <v>2</v>
      </c>
      <c r="G90" s="2" t="s">
        <v>250</v>
      </c>
      <c r="H90">
        <v>1</v>
      </c>
    </row>
    <row r="91" spans="1:8">
      <c r="A91" s="2" t="s">
        <v>250</v>
      </c>
      <c r="B91">
        <v>2</v>
      </c>
      <c r="E91">
        <v>2</v>
      </c>
      <c r="G91" s="2" t="s">
        <v>824</v>
      </c>
      <c r="H91">
        <v>1</v>
      </c>
    </row>
    <row r="92" spans="1:8">
      <c r="A92" s="2" t="s">
        <v>824</v>
      </c>
      <c r="C92">
        <v>1</v>
      </c>
      <c r="E92">
        <v>1</v>
      </c>
      <c r="G92" s="2" t="s">
        <v>389</v>
      </c>
      <c r="H92">
        <v>1</v>
      </c>
    </row>
    <row r="93" spans="1:8">
      <c r="A93" s="2" t="s">
        <v>389</v>
      </c>
      <c r="C93">
        <v>1</v>
      </c>
      <c r="D93">
        <v>1</v>
      </c>
      <c r="E93">
        <v>2</v>
      </c>
      <c r="G93" s="2" t="s">
        <v>326</v>
      </c>
    </row>
    <row r="94" spans="1:8">
      <c r="A94" s="2" t="s">
        <v>326</v>
      </c>
      <c r="B94">
        <v>1</v>
      </c>
      <c r="E94">
        <v>1</v>
      </c>
      <c r="G94" s="2" t="s">
        <v>357</v>
      </c>
    </row>
    <row r="95" spans="1:8">
      <c r="A95" s="2" t="s">
        <v>357</v>
      </c>
      <c r="B95">
        <v>1</v>
      </c>
      <c r="E95">
        <v>1</v>
      </c>
      <c r="G95" s="2" t="s">
        <v>247</v>
      </c>
      <c r="H95">
        <v>1</v>
      </c>
    </row>
    <row r="96" spans="1:8">
      <c r="A96" s="2" t="s">
        <v>247</v>
      </c>
      <c r="B96">
        <v>1</v>
      </c>
      <c r="C96">
        <v>1</v>
      </c>
      <c r="E96">
        <v>2</v>
      </c>
      <c r="G96" s="2" t="s">
        <v>164</v>
      </c>
    </row>
    <row r="97" spans="1:8">
      <c r="A97" s="2" t="s">
        <v>164</v>
      </c>
      <c r="B97">
        <v>1</v>
      </c>
      <c r="E97">
        <v>1</v>
      </c>
      <c r="G97" s="2" t="s">
        <v>705</v>
      </c>
      <c r="H97">
        <v>1</v>
      </c>
    </row>
    <row r="98" spans="1:8">
      <c r="A98" s="2" t="s">
        <v>705</v>
      </c>
      <c r="C98">
        <v>1</v>
      </c>
      <c r="E98">
        <v>1</v>
      </c>
      <c r="G98" s="2" t="s">
        <v>212</v>
      </c>
    </row>
    <row r="99" spans="1:8">
      <c r="A99" s="2" t="s">
        <v>212</v>
      </c>
      <c r="B99">
        <v>1</v>
      </c>
      <c r="C99">
        <v>1</v>
      </c>
      <c r="E99">
        <v>2</v>
      </c>
      <c r="G99" s="2" t="s">
        <v>90</v>
      </c>
      <c r="H99">
        <v>2</v>
      </c>
    </row>
    <row r="100" spans="1:8">
      <c r="A100" s="2" t="s">
        <v>90</v>
      </c>
      <c r="B100">
        <v>2</v>
      </c>
      <c r="E100">
        <v>2</v>
      </c>
      <c r="G100" s="2" t="s">
        <v>779</v>
      </c>
    </row>
    <row r="101" spans="1:8">
      <c r="A101" s="2" t="s">
        <v>779</v>
      </c>
      <c r="C101">
        <v>1</v>
      </c>
      <c r="E101">
        <v>1</v>
      </c>
      <c r="G101" s="2" t="s">
        <v>757</v>
      </c>
    </row>
    <row r="102" spans="1:8">
      <c r="A102" s="2" t="s">
        <v>757</v>
      </c>
      <c r="C102">
        <v>1</v>
      </c>
      <c r="E102">
        <v>1</v>
      </c>
      <c r="G102" s="2" t="s">
        <v>70</v>
      </c>
      <c r="H102">
        <v>1</v>
      </c>
    </row>
    <row r="103" spans="1:8">
      <c r="A103" s="2" t="s">
        <v>70</v>
      </c>
      <c r="B103">
        <v>1</v>
      </c>
      <c r="E103">
        <v>1</v>
      </c>
      <c r="G103" s="2" t="s">
        <v>465</v>
      </c>
      <c r="H103">
        <v>2</v>
      </c>
    </row>
    <row r="104" spans="1:8">
      <c r="A104" s="2" t="s">
        <v>465</v>
      </c>
      <c r="B104">
        <v>1</v>
      </c>
      <c r="C104">
        <v>2</v>
      </c>
      <c r="E104">
        <v>3</v>
      </c>
      <c r="G104" s="2" t="s">
        <v>703</v>
      </c>
      <c r="H104">
        <v>1</v>
      </c>
    </row>
    <row r="105" spans="1:8">
      <c r="A105" s="2" t="s">
        <v>703</v>
      </c>
      <c r="C105">
        <v>1</v>
      </c>
      <c r="E105">
        <v>1</v>
      </c>
      <c r="G105" s="2" t="s">
        <v>9</v>
      </c>
      <c r="H105">
        <v>3</v>
      </c>
    </row>
    <row r="106" spans="1:8">
      <c r="A106" s="2" t="s">
        <v>9</v>
      </c>
      <c r="B106">
        <v>5</v>
      </c>
      <c r="E106">
        <v>5</v>
      </c>
      <c r="G106" s="2" t="s">
        <v>174</v>
      </c>
      <c r="H106">
        <v>1</v>
      </c>
    </row>
    <row r="107" spans="1:8">
      <c r="A107" s="2" t="s">
        <v>174</v>
      </c>
      <c r="B107">
        <v>1</v>
      </c>
      <c r="E107">
        <v>1</v>
      </c>
      <c r="G107" s="2" t="s">
        <v>273</v>
      </c>
      <c r="H107">
        <v>1</v>
      </c>
    </row>
    <row r="108" spans="1:8">
      <c r="A108" s="2" t="s">
        <v>273</v>
      </c>
      <c r="B108">
        <v>1</v>
      </c>
      <c r="E108">
        <v>1</v>
      </c>
      <c r="G108" s="2" t="s">
        <v>351</v>
      </c>
    </row>
    <row r="109" spans="1:8">
      <c r="A109" s="2" t="s">
        <v>351</v>
      </c>
      <c r="B109">
        <v>1</v>
      </c>
      <c r="C109">
        <v>1</v>
      </c>
      <c r="E109">
        <v>2</v>
      </c>
      <c r="G109" s="2" t="s">
        <v>245</v>
      </c>
      <c r="H109">
        <v>1</v>
      </c>
    </row>
    <row r="110" spans="1:8">
      <c r="A110" s="2" t="s">
        <v>245</v>
      </c>
      <c r="B110">
        <v>1</v>
      </c>
      <c r="E110">
        <v>1</v>
      </c>
      <c r="G110" s="2" t="s">
        <v>277</v>
      </c>
      <c r="H110">
        <v>1</v>
      </c>
    </row>
    <row r="111" spans="1:8">
      <c r="A111" s="2" t="s">
        <v>277</v>
      </c>
      <c r="B111">
        <v>1</v>
      </c>
      <c r="E111">
        <v>1</v>
      </c>
      <c r="G111" s="2" t="s">
        <v>206</v>
      </c>
      <c r="H111">
        <v>2</v>
      </c>
    </row>
    <row r="112" spans="1:8">
      <c r="A112" s="2" t="s">
        <v>206</v>
      </c>
      <c r="B112">
        <v>2</v>
      </c>
      <c r="C112">
        <v>1</v>
      </c>
      <c r="E112">
        <v>3</v>
      </c>
      <c r="G112" s="2" t="s">
        <v>835</v>
      </c>
    </row>
    <row r="113" spans="1:8">
      <c r="A113" s="2" t="s">
        <v>835</v>
      </c>
      <c r="C113">
        <v>1</v>
      </c>
      <c r="E113">
        <v>1</v>
      </c>
      <c r="G113" s="2" t="s">
        <v>768</v>
      </c>
      <c r="H113">
        <v>1</v>
      </c>
    </row>
    <row r="114" spans="1:8">
      <c r="A114" s="2" t="s">
        <v>768</v>
      </c>
      <c r="C114">
        <v>1</v>
      </c>
      <c r="E114">
        <v>1</v>
      </c>
      <c r="G114" s="2" t="s">
        <v>204</v>
      </c>
      <c r="H114">
        <v>1</v>
      </c>
    </row>
    <row r="115" spans="1:8">
      <c r="A115" s="2" t="s">
        <v>204</v>
      </c>
      <c r="B115">
        <v>1</v>
      </c>
      <c r="E115">
        <v>1</v>
      </c>
      <c r="G115" s="2" t="s">
        <v>763</v>
      </c>
      <c r="H115">
        <v>1</v>
      </c>
    </row>
    <row r="116" spans="1:8">
      <c r="A116" s="2" t="s">
        <v>763</v>
      </c>
      <c r="C116">
        <v>1</v>
      </c>
      <c r="E116">
        <v>1</v>
      </c>
      <c r="G116" s="2" t="s">
        <v>774</v>
      </c>
      <c r="H116">
        <v>1</v>
      </c>
    </row>
    <row r="117" spans="1:8">
      <c r="A117" s="2" t="s">
        <v>774</v>
      </c>
      <c r="C117">
        <v>1</v>
      </c>
      <c r="E117">
        <v>1</v>
      </c>
      <c r="G117" s="2" t="s">
        <v>88</v>
      </c>
      <c r="H117">
        <v>1</v>
      </c>
    </row>
    <row r="118" spans="1:8">
      <c r="A118" s="2" t="s">
        <v>88</v>
      </c>
      <c r="B118">
        <v>1</v>
      </c>
      <c r="C118">
        <v>1</v>
      </c>
      <c r="E118">
        <v>2</v>
      </c>
      <c r="G118" s="2" t="s">
        <v>393</v>
      </c>
      <c r="H118">
        <v>2</v>
      </c>
    </row>
    <row r="119" spans="1:8">
      <c r="A119" s="2" t="s">
        <v>393</v>
      </c>
      <c r="B119">
        <v>1</v>
      </c>
      <c r="C119">
        <v>2</v>
      </c>
      <c r="D119">
        <v>1</v>
      </c>
      <c r="E119">
        <v>4</v>
      </c>
      <c r="G119" s="2" t="s">
        <v>419</v>
      </c>
    </row>
    <row r="120" spans="1:8">
      <c r="A120" s="2" t="s">
        <v>419</v>
      </c>
      <c r="C120">
        <v>1</v>
      </c>
      <c r="E120">
        <v>1</v>
      </c>
      <c r="G120" s="2" t="s">
        <v>162</v>
      </c>
      <c r="H120">
        <v>1</v>
      </c>
    </row>
    <row r="121" spans="1:8">
      <c r="A121" s="2" t="s">
        <v>162</v>
      </c>
      <c r="B121">
        <v>2</v>
      </c>
      <c r="E121">
        <v>2</v>
      </c>
      <c r="G121" s="2" t="s">
        <v>197</v>
      </c>
      <c r="H121">
        <v>1</v>
      </c>
    </row>
    <row r="122" spans="1:8">
      <c r="A122" s="2" t="s">
        <v>197</v>
      </c>
      <c r="B122">
        <v>1</v>
      </c>
      <c r="C122">
        <v>1</v>
      </c>
      <c r="E122">
        <v>2</v>
      </c>
      <c r="G122" s="2" t="s">
        <v>569</v>
      </c>
      <c r="H122">
        <v>1</v>
      </c>
    </row>
    <row r="123" spans="1:8">
      <c r="A123" s="2" t="s">
        <v>569</v>
      </c>
      <c r="C123">
        <v>1</v>
      </c>
      <c r="E123">
        <v>1</v>
      </c>
      <c r="G123" s="2" t="s">
        <v>425</v>
      </c>
      <c r="H123">
        <v>1</v>
      </c>
    </row>
    <row r="124" spans="1:8">
      <c r="A124" s="2" t="s">
        <v>425</v>
      </c>
      <c r="C124">
        <v>1</v>
      </c>
      <c r="E124">
        <v>1</v>
      </c>
      <c r="G124" s="2" t="s">
        <v>106</v>
      </c>
    </row>
    <row r="125" spans="1:8">
      <c r="A125" s="2" t="s">
        <v>106</v>
      </c>
      <c r="B125">
        <v>1</v>
      </c>
      <c r="E125">
        <v>1</v>
      </c>
      <c r="G125" s="2" t="s">
        <v>210</v>
      </c>
      <c r="H125">
        <v>1</v>
      </c>
    </row>
    <row r="126" spans="1:8">
      <c r="A126" s="2" t="s">
        <v>210</v>
      </c>
      <c r="B126">
        <v>2</v>
      </c>
      <c r="C126">
        <v>2</v>
      </c>
      <c r="E126">
        <v>4</v>
      </c>
      <c r="G126" s="2" t="s">
        <v>299</v>
      </c>
      <c r="H126">
        <v>1</v>
      </c>
    </row>
    <row r="127" spans="1:8">
      <c r="A127" s="2" t="s">
        <v>299</v>
      </c>
      <c r="B127">
        <v>1</v>
      </c>
      <c r="E127">
        <v>1</v>
      </c>
      <c r="G127" s="2" t="s">
        <v>762</v>
      </c>
      <c r="H127">
        <v>1</v>
      </c>
    </row>
    <row r="128" spans="1:8">
      <c r="A128" s="2" t="s">
        <v>762</v>
      </c>
      <c r="C128">
        <v>1</v>
      </c>
      <c r="E128">
        <v>1</v>
      </c>
      <c r="G128" s="2" t="s">
        <v>780</v>
      </c>
    </row>
    <row r="129" spans="1:8">
      <c r="A129" s="2" t="s">
        <v>780</v>
      </c>
      <c r="C129">
        <v>1</v>
      </c>
      <c r="E129">
        <v>1</v>
      </c>
      <c r="G129" s="2" t="s">
        <v>424</v>
      </c>
      <c r="H129">
        <v>3</v>
      </c>
    </row>
    <row r="130" spans="1:8">
      <c r="A130" s="2" t="s">
        <v>424</v>
      </c>
      <c r="B130">
        <v>1</v>
      </c>
      <c r="C130">
        <v>3</v>
      </c>
      <c r="E130">
        <v>4</v>
      </c>
      <c r="G130" s="2" t="s">
        <v>225</v>
      </c>
    </row>
    <row r="131" spans="1:8">
      <c r="A131" s="2" t="s">
        <v>225</v>
      </c>
      <c r="B131">
        <v>1</v>
      </c>
      <c r="E131">
        <v>1</v>
      </c>
      <c r="G131" s="2" t="s">
        <v>44</v>
      </c>
    </row>
    <row r="132" spans="1:8">
      <c r="A132" s="2" t="s">
        <v>44</v>
      </c>
      <c r="B132">
        <v>1</v>
      </c>
      <c r="E132">
        <v>1</v>
      </c>
      <c r="G132" s="2" t="s">
        <v>281</v>
      </c>
      <c r="H132">
        <v>1</v>
      </c>
    </row>
    <row r="133" spans="1:8">
      <c r="A133" s="2" t="s">
        <v>281</v>
      </c>
      <c r="B133">
        <v>1</v>
      </c>
      <c r="E133">
        <v>1</v>
      </c>
      <c r="G133" s="2" t="s">
        <v>771</v>
      </c>
      <c r="H133">
        <v>1</v>
      </c>
    </row>
    <row r="134" spans="1:8">
      <c r="A134" s="2" t="s">
        <v>771</v>
      </c>
      <c r="C134">
        <v>1</v>
      </c>
      <c r="E134">
        <v>1</v>
      </c>
      <c r="G134" s="2" t="s">
        <v>104</v>
      </c>
      <c r="H134">
        <v>1</v>
      </c>
    </row>
    <row r="135" spans="1:8">
      <c r="A135" s="2" t="s">
        <v>104</v>
      </c>
      <c r="B135">
        <v>1</v>
      </c>
      <c r="C135">
        <v>1</v>
      </c>
      <c r="E135">
        <v>2</v>
      </c>
      <c r="G135" s="2" t="s">
        <v>131</v>
      </c>
      <c r="H135">
        <v>3</v>
      </c>
    </row>
    <row r="136" spans="1:8">
      <c r="A136" s="2" t="s">
        <v>131</v>
      </c>
      <c r="B136">
        <v>2</v>
      </c>
      <c r="C136">
        <v>3</v>
      </c>
      <c r="D136">
        <v>1</v>
      </c>
      <c r="E136">
        <v>6</v>
      </c>
      <c r="G136" s="2" t="s">
        <v>218</v>
      </c>
      <c r="H136">
        <v>1</v>
      </c>
    </row>
    <row r="137" spans="1:8">
      <c r="A137" s="2" t="s">
        <v>218</v>
      </c>
      <c r="B137">
        <v>1</v>
      </c>
      <c r="E137">
        <v>1</v>
      </c>
      <c r="G137" s="2" t="s">
        <v>117</v>
      </c>
      <c r="H137">
        <v>2</v>
      </c>
    </row>
    <row r="138" spans="1:8">
      <c r="A138" s="2" t="s">
        <v>117</v>
      </c>
      <c r="B138">
        <v>3</v>
      </c>
      <c r="C138">
        <v>3</v>
      </c>
      <c r="E138">
        <v>6</v>
      </c>
      <c r="G138" s="2" t="s">
        <v>137</v>
      </c>
      <c r="H138">
        <v>1</v>
      </c>
    </row>
    <row r="139" spans="1:8">
      <c r="A139" s="2" t="s">
        <v>137</v>
      </c>
      <c r="B139">
        <v>1</v>
      </c>
      <c r="E139">
        <v>1</v>
      </c>
      <c r="G139" s="2" t="s">
        <v>686</v>
      </c>
    </row>
    <row r="140" spans="1:8">
      <c r="A140" s="2" t="s">
        <v>686</v>
      </c>
      <c r="C140">
        <v>1</v>
      </c>
      <c r="E140">
        <v>1</v>
      </c>
      <c r="G140" s="2" t="s">
        <v>775</v>
      </c>
      <c r="H140">
        <v>1</v>
      </c>
    </row>
    <row r="141" spans="1:8">
      <c r="A141" s="2" t="s">
        <v>775</v>
      </c>
      <c r="C141">
        <v>1</v>
      </c>
      <c r="E141">
        <v>1</v>
      </c>
      <c r="G141" s="2" t="s">
        <v>58</v>
      </c>
      <c r="H141">
        <v>2</v>
      </c>
    </row>
    <row r="142" spans="1:8">
      <c r="A142" s="2" t="s">
        <v>58</v>
      </c>
      <c r="B142">
        <v>3</v>
      </c>
      <c r="C142">
        <v>3</v>
      </c>
      <c r="D142">
        <v>1</v>
      </c>
      <c r="E142">
        <v>7</v>
      </c>
      <c r="G142" s="2" t="s">
        <v>753</v>
      </c>
    </row>
    <row r="143" spans="1:8">
      <c r="A143" s="2" t="s">
        <v>753</v>
      </c>
      <c r="C143">
        <v>1</v>
      </c>
      <c r="E143">
        <v>1</v>
      </c>
      <c r="G143" s="2" t="s">
        <v>55</v>
      </c>
      <c r="H143">
        <v>1</v>
      </c>
    </row>
    <row r="144" spans="1:8">
      <c r="A144" s="2" t="s">
        <v>55</v>
      </c>
      <c r="B144">
        <v>1</v>
      </c>
      <c r="E144">
        <v>1</v>
      </c>
      <c r="G144" s="2" t="s">
        <v>76</v>
      </c>
      <c r="H144">
        <v>4</v>
      </c>
    </row>
    <row r="145" spans="1:8">
      <c r="A145" s="2" t="s">
        <v>76</v>
      </c>
      <c r="B145">
        <v>3</v>
      </c>
      <c r="C145">
        <v>1</v>
      </c>
      <c r="E145">
        <v>4</v>
      </c>
      <c r="G145" s="2" t="s">
        <v>172</v>
      </c>
      <c r="H145">
        <v>1</v>
      </c>
    </row>
    <row r="146" spans="1:8">
      <c r="A146" s="2" t="s">
        <v>172</v>
      </c>
      <c r="B146">
        <v>1</v>
      </c>
      <c r="E146">
        <v>1</v>
      </c>
      <c r="G146" s="2" t="s">
        <v>115</v>
      </c>
      <c r="H146">
        <v>5</v>
      </c>
    </row>
    <row r="147" spans="1:8">
      <c r="A147" s="2" t="s">
        <v>115</v>
      </c>
      <c r="B147">
        <v>5</v>
      </c>
      <c r="C147">
        <v>3</v>
      </c>
      <c r="E147">
        <v>8</v>
      </c>
      <c r="G147" s="2" t="s">
        <v>150</v>
      </c>
    </row>
    <row r="148" spans="1:8">
      <c r="A148" s="2" t="s">
        <v>150</v>
      </c>
      <c r="B148">
        <v>1</v>
      </c>
      <c r="E148">
        <v>1</v>
      </c>
      <c r="G148" s="2" t="s">
        <v>438</v>
      </c>
    </row>
    <row r="149" spans="1:8">
      <c r="A149" s="2" t="s">
        <v>438</v>
      </c>
      <c r="C149">
        <v>1</v>
      </c>
      <c r="E149">
        <v>1</v>
      </c>
      <c r="G149" s="2" t="s">
        <v>155</v>
      </c>
    </row>
    <row r="150" spans="1:8">
      <c r="A150" s="2" t="s">
        <v>155</v>
      </c>
      <c r="B150">
        <v>1</v>
      </c>
      <c r="E150">
        <v>1</v>
      </c>
      <c r="G150" s="2" t="s">
        <v>407</v>
      </c>
    </row>
    <row r="151" spans="1:8">
      <c r="A151" s="2" t="s">
        <v>407</v>
      </c>
      <c r="C151">
        <v>1</v>
      </c>
      <c r="E151">
        <v>1</v>
      </c>
      <c r="G151" s="2" t="s">
        <v>446</v>
      </c>
      <c r="H151">
        <v>1</v>
      </c>
    </row>
    <row r="152" spans="1:8">
      <c r="A152" s="2" t="s">
        <v>446</v>
      </c>
      <c r="C152">
        <v>1</v>
      </c>
      <c r="E152">
        <v>1</v>
      </c>
      <c r="G152" s="2" t="s">
        <v>567</v>
      </c>
    </row>
    <row r="153" spans="1:8">
      <c r="A153" s="2" t="s">
        <v>567</v>
      </c>
      <c r="C153">
        <v>3</v>
      </c>
      <c r="E153">
        <v>3</v>
      </c>
      <c r="G153" s="2" t="s">
        <v>24</v>
      </c>
      <c r="H153">
        <v>2</v>
      </c>
    </row>
    <row r="154" spans="1:8">
      <c r="A154" s="2" t="s">
        <v>24</v>
      </c>
      <c r="B154">
        <v>2</v>
      </c>
      <c r="C154">
        <v>1</v>
      </c>
      <c r="E154">
        <v>3</v>
      </c>
      <c r="G154" s="2" t="s">
        <v>330</v>
      </c>
      <c r="H154">
        <v>1</v>
      </c>
    </row>
    <row r="155" spans="1:8">
      <c r="A155" s="2" t="s">
        <v>330</v>
      </c>
      <c r="B155">
        <v>1</v>
      </c>
      <c r="E155">
        <v>1</v>
      </c>
      <c r="G155" s="2" t="s">
        <v>95</v>
      </c>
      <c r="H155">
        <v>1</v>
      </c>
    </row>
    <row r="156" spans="1:8">
      <c r="A156" s="2" t="s">
        <v>95</v>
      </c>
      <c r="B156">
        <v>2</v>
      </c>
      <c r="E156">
        <v>2</v>
      </c>
      <c r="G156" s="2" t="s">
        <v>40</v>
      </c>
      <c r="H156">
        <v>1</v>
      </c>
    </row>
    <row r="157" spans="1:8">
      <c r="A157" s="2" t="s">
        <v>40</v>
      </c>
      <c r="B157">
        <v>1</v>
      </c>
      <c r="E157">
        <v>1</v>
      </c>
      <c r="G157" s="2" t="s">
        <v>92</v>
      </c>
      <c r="H157">
        <v>1</v>
      </c>
    </row>
    <row r="158" spans="1:8">
      <c r="A158" s="2" t="s">
        <v>92</v>
      </c>
      <c r="B158">
        <v>2</v>
      </c>
      <c r="E158">
        <v>2</v>
      </c>
      <c r="G158" s="2" t="s">
        <v>53</v>
      </c>
      <c r="H158">
        <v>1</v>
      </c>
    </row>
    <row r="159" spans="1:8">
      <c r="A159" s="2" t="s">
        <v>53</v>
      </c>
      <c r="B159">
        <v>1</v>
      </c>
      <c r="E159">
        <v>1</v>
      </c>
      <c r="G159" s="2" t="s">
        <v>724</v>
      </c>
    </row>
    <row r="160" spans="1:8">
      <c r="A160" s="2" t="s">
        <v>724</v>
      </c>
      <c r="C160">
        <v>1</v>
      </c>
      <c r="E160">
        <v>1</v>
      </c>
      <c r="G160" s="2" t="s">
        <v>102</v>
      </c>
      <c r="H160">
        <v>1</v>
      </c>
    </row>
    <row r="161" spans="1:8">
      <c r="A161" s="2" t="s">
        <v>102</v>
      </c>
      <c r="B161">
        <v>1</v>
      </c>
      <c r="E161">
        <v>1</v>
      </c>
      <c r="G161" s="2" t="s">
        <v>237</v>
      </c>
    </row>
    <row r="162" spans="1:8">
      <c r="A162" s="2" t="s">
        <v>237</v>
      </c>
      <c r="B162">
        <v>1</v>
      </c>
      <c r="C162">
        <v>1</v>
      </c>
      <c r="E162">
        <v>2</v>
      </c>
      <c r="G162" s="2" t="s">
        <v>453</v>
      </c>
      <c r="H162">
        <v>1</v>
      </c>
    </row>
    <row r="163" spans="1:8">
      <c r="A163" s="2" t="s">
        <v>453</v>
      </c>
      <c r="C163">
        <v>2</v>
      </c>
      <c r="E163">
        <v>2</v>
      </c>
      <c r="G163" s="2" t="s">
        <v>145</v>
      </c>
    </row>
    <row r="164" spans="1:8">
      <c r="A164" s="2" t="s">
        <v>145</v>
      </c>
      <c r="B164">
        <v>1</v>
      </c>
      <c r="C164">
        <v>1</v>
      </c>
      <c r="D164">
        <v>1</v>
      </c>
      <c r="E164">
        <v>3</v>
      </c>
      <c r="G164" s="2" t="s">
        <v>11</v>
      </c>
    </row>
    <row r="165" spans="1:8">
      <c r="A165" s="2" t="s">
        <v>11</v>
      </c>
      <c r="B165">
        <v>1</v>
      </c>
      <c r="E165">
        <v>1</v>
      </c>
      <c r="G165" s="2" t="s">
        <v>760</v>
      </c>
      <c r="H165">
        <v>1</v>
      </c>
    </row>
    <row r="166" spans="1:8">
      <c r="A166" s="2" t="s">
        <v>760</v>
      </c>
      <c r="C166">
        <v>1</v>
      </c>
      <c r="E166">
        <v>1</v>
      </c>
      <c r="G166" s="2" t="s">
        <v>701</v>
      </c>
      <c r="H166">
        <v>1</v>
      </c>
    </row>
    <row r="167" spans="1:8">
      <c r="A167" s="2" t="s">
        <v>701</v>
      </c>
      <c r="C167">
        <v>1</v>
      </c>
      <c r="E167">
        <v>1</v>
      </c>
      <c r="G167" s="2" t="s">
        <v>747</v>
      </c>
      <c r="H167">
        <v>1</v>
      </c>
    </row>
    <row r="168" spans="1:8">
      <c r="A168" s="2" t="s">
        <v>747</v>
      </c>
      <c r="C168">
        <v>1</v>
      </c>
      <c r="E168">
        <v>1</v>
      </c>
      <c r="G168" s="2" t="s">
        <v>566</v>
      </c>
    </row>
    <row r="169" spans="1:8">
      <c r="A169" s="2" t="s">
        <v>566</v>
      </c>
      <c r="C169">
        <v>1</v>
      </c>
      <c r="E169">
        <v>1</v>
      </c>
      <c r="G169" s="2" t="s">
        <v>413</v>
      </c>
    </row>
    <row r="170" spans="1:8">
      <c r="A170" s="2" t="s">
        <v>413</v>
      </c>
      <c r="C170">
        <v>1</v>
      </c>
      <c r="E170">
        <v>1</v>
      </c>
      <c r="G170" s="2" t="s">
        <v>730</v>
      </c>
    </row>
    <row r="171" spans="1:8">
      <c r="A171" s="2" t="s">
        <v>730</v>
      </c>
      <c r="C171">
        <v>1</v>
      </c>
      <c r="E171">
        <v>1</v>
      </c>
      <c r="G171" s="2" t="s">
        <v>15</v>
      </c>
      <c r="H171">
        <v>5</v>
      </c>
    </row>
    <row r="172" spans="1:8">
      <c r="A172" s="2" t="s">
        <v>15</v>
      </c>
      <c r="B172">
        <v>5</v>
      </c>
      <c r="C172">
        <v>5</v>
      </c>
      <c r="E172">
        <v>10</v>
      </c>
      <c r="G172" s="2" t="s">
        <v>133</v>
      </c>
      <c r="H172">
        <v>3</v>
      </c>
    </row>
    <row r="173" spans="1:8">
      <c r="A173" s="2" t="s">
        <v>133</v>
      </c>
      <c r="B173">
        <v>2</v>
      </c>
      <c r="C173">
        <v>2</v>
      </c>
      <c r="D173">
        <v>1</v>
      </c>
      <c r="E173">
        <v>5</v>
      </c>
      <c r="G173" s="2" t="s">
        <v>185</v>
      </c>
      <c r="H173">
        <v>2</v>
      </c>
    </row>
    <row r="174" spans="1:8">
      <c r="A174" s="2" t="s">
        <v>185</v>
      </c>
      <c r="B174">
        <v>1</v>
      </c>
      <c r="C174">
        <v>1</v>
      </c>
      <c r="E174">
        <v>2</v>
      </c>
      <c r="G174" s="2" t="s">
        <v>182</v>
      </c>
      <c r="H174">
        <v>1</v>
      </c>
    </row>
    <row r="175" spans="1:8">
      <c r="A175" s="2" t="s">
        <v>182</v>
      </c>
      <c r="B175">
        <v>1</v>
      </c>
      <c r="E175">
        <v>1</v>
      </c>
      <c r="G175" s="2" t="s">
        <v>158</v>
      </c>
    </row>
    <row r="176" spans="1:8">
      <c r="A176" s="2" t="s">
        <v>158</v>
      </c>
      <c r="B176">
        <v>1</v>
      </c>
      <c r="E176">
        <v>1</v>
      </c>
      <c r="G176" s="2" t="s">
        <v>337</v>
      </c>
    </row>
    <row r="177" spans="1:8">
      <c r="A177" s="2" t="s">
        <v>337</v>
      </c>
      <c r="B177">
        <v>1</v>
      </c>
      <c r="E177">
        <v>1</v>
      </c>
      <c r="G177" s="2" t="s">
        <v>761</v>
      </c>
      <c r="H177">
        <v>1</v>
      </c>
    </row>
    <row r="178" spans="1:8">
      <c r="A178" s="2" t="s">
        <v>761</v>
      </c>
      <c r="C178">
        <v>1</v>
      </c>
      <c r="E178">
        <v>1</v>
      </c>
      <c r="G178" s="2" t="s">
        <v>777</v>
      </c>
      <c r="H178">
        <v>1</v>
      </c>
    </row>
    <row r="179" spans="1:8">
      <c r="A179" s="2" t="s">
        <v>777</v>
      </c>
      <c r="C179">
        <v>1</v>
      </c>
      <c r="E179">
        <v>1</v>
      </c>
      <c r="G179" s="2" t="s">
        <v>755</v>
      </c>
    </row>
    <row r="180" spans="1:8">
      <c r="A180" s="2" t="s">
        <v>755</v>
      </c>
      <c r="C180">
        <v>1</v>
      </c>
      <c r="E180">
        <v>1</v>
      </c>
      <c r="G180" s="2" t="s">
        <v>221</v>
      </c>
    </row>
    <row r="181" spans="1:8">
      <c r="A181" s="2" t="s">
        <v>221</v>
      </c>
      <c r="B181">
        <v>1</v>
      </c>
      <c r="E181">
        <v>1</v>
      </c>
      <c r="G181" s="2" t="s">
        <v>320</v>
      </c>
    </row>
    <row r="182" spans="1:8">
      <c r="A182" s="2" t="s">
        <v>320</v>
      </c>
      <c r="B182">
        <v>1</v>
      </c>
      <c r="C182">
        <v>1</v>
      </c>
      <c r="E182">
        <v>2</v>
      </c>
      <c r="G182" s="2" t="s">
        <v>485</v>
      </c>
    </row>
    <row r="183" spans="1:8">
      <c r="A183" s="2" t="s">
        <v>485</v>
      </c>
      <c r="C183">
        <v>3</v>
      </c>
      <c r="E183">
        <v>3</v>
      </c>
      <c r="G183" s="2" t="s">
        <v>13</v>
      </c>
    </row>
    <row r="184" spans="1:8">
      <c r="A184" s="2" t="s">
        <v>13</v>
      </c>
      <c r="B184">
        <v>1</v>
      </c>
      <c r="E184">
        <v>1</v>
      </c>
      <c r="G184" s="2" t="s">
        <v>391</v>
      </c>
    </row>
    <row r="185" spans="1:8">
      <c r="A185" s="2" t="s">
        <v>391</v>
      </c>
      <c r="D185">
        <v>1</v>
      </c>
      <c r="E185">
        <v>1</v>
      </c>
      <c r="G185" s="2" t="s">
        <v>764</v>
      </c>
      <c r="H185">
        <v>1</v>
      </c>
    </row>
    <row r="186" spans="1:8">
      <c r="A186" s="2" t="s">
        <v>764</v>
      </c>
      <c r="C186">
        <v>2</v>
      </c>
      <c r="E186">
        <v>2</v>
      </c>
      <c r="G186" s="2" t="s">
        <v>464</v>
      </c>
      <c r="H186">
        <v>1</v>
      </c>
    </row>
    <row r="187" spans="1:8">
      <c r="A187" s="2" t="s">
        <v>464</v>
      </c>
      <c r="B187">
        <v>1</v>
      </c>
      <c r="E187">
        <v>1</v>
      </c>
      <c r="G187" s="2" t="s">
        <v>287</v>
      </c>
      <c r="H187">
        <v>1</v>
      </c>
    </row>
    <row r="188" spans="1:8">
      <c r="A188" s="2" t="s">
        <v>287</v>
      </c>
      <c r="B188">
        <v>1</v>
      </c>
      <c r="E188">
        <v>1</v>
      </c>
      <c r="G188" s="2" t="s">
        <v>308</v>
      </c>
    </row>
    <row r="189" spans="1:8">
      <c r="A189" s="2" t="s">
        <v>308</v>
      </c>
      <c r="B189">
        <v>1</v>
      </c>
      <c r="E189">
        <v>1</v>
      </c>
      <c r="G189" s="2" t="s">
        <v>749</v>
      </c>
      <c r="H189">
        <v>1</v>
      </c>
    </row>
    <row r="190" spans="1:8">
      <c r="A190" s="2" t="s">
        <v>749</v>
      </c>
      <c r="C190">
        <v>1</v>
      </c>
      <c r="E190">
        <v>1</v>
      </c>
      <c r="G190" s="2" t="s">
        <v>38</v>
      </c>
      <c r="H190">
        <v>4</v>
      </c>
    </row>
    <row r="191" spans="1:8">
      <c r="A191" s="2" t="s">
        <v>38</v>
      </c>
      <c r="B191">
        <v>3</v>
      </c>
      <c r="C191">
        <v>3</v>
      </c>
      <c r="E191">
        <v>6</v>
      </c>
      <c r="G191" s="2" t="s">
        <v>557</v>
      </c>
    </row>
    <row r="192" spans="1:8">
      <c r="A192" s="2" t="s">
        <v>557</v>
      </c>
      <c r="C192">
        <v>1</v>
      </c>
      <c r="E192">
        <v>1</v>
      </c>
      <c r="G192" s="2" t="s">
        <v>442</v>
      </c>
    </row>
    <row r="193" spans="1:8">
      <c r="A193" s="2" t="s">
        <v>442</v>
      </c>
      <c r="C193">
        <v>1</v>
      </c>
      <c r="E193">
        <v>1</v>
      </c>
      <c r="G193" s="2" t="s">
        <v>314</v>
      </c>
      <c r="H193">
        <v>1</v>
      </c>
    </row>
    <row r="194" spans="1:8">
      <c r="A194" s="2" t="s">
        <v>314</v>
      </c>
      <c r="B194">
        <v>1</v>
      </c>
      <c r="E194">
        <v>1</v>
      </c>
      <c r="G194" s="2" t="s">
        <v>18</v>
      </c>
      <c r="H194">
        <v>1</v>
      </c>
    </row>
    <row r="195" spans="1:8">
      <c r="A195" s="2" t="s">
        <v>18</v>
      </c>
      <c r="B195">
        <v>2</v>
      </c>
      <c r="E195">
        <v>2</v>
      </c>
      <c r="G195" s="2" t="s">
        <v>707</v>
      </c>
      <c r="H195">
        <v>1</v>
      </c>
    </row>
    <row r="196" spans="1:8">
      <c r="A196" s="2" t="s">
        <v>707</v>
      </c>
      <c r="C196">
        <v>1</v>
      </c>
      <c r="E196">
        <v>1</v>
      </c>
      <c r="G196" s="2" t="s">
        <v>28</v>
      </c>
      <c r="H196">
        <v>1</v>
      </c>
    </row>
    <row r="197" spans="1:8">
      <c r="A197" s="2" t="s">
        <v>28</v>
      </c>
      <c r="B197">
        <v>2</v>
      </c>
      <c r="E197">
        <v>2</v>
      </c>
      <c r="G197" s="2" t="s">
        <v>84</v>
      </c>
    </row>
    <row r="198" spans="1:8">
      <c r="A198" s="2" t="s">
        <v>84</v>
      </c>
      <c r="B198">
        <v>2</v>
      </c>
      <c r="E198">
        <v>2</v>
      </c>
      <c r="G198" s="2" t="s">
        <v>22</v>
      </c>
      <c r="H198">
        <v>2</v>
      </c>
    </row>
    <row r="199" spans="1:8">
      <c r="A199" s="2" t="s">
        <v>22</v>
      </c>
      <c r="B199">
        <v>1</v>
      </c>
      <c r="C199">
        <v>1</v>
      </c>
      <c r="E199">
        <v>2</v>
      </c>
      <c r="G199" s="2" t="s">
        <v>291</v>
      </c>
      <c r="H199">
        <v>1</v>
      </c>
    </row>
    <row r="200" spans="1:8">
      <c r="A200" s="2" t="s">
        <v>291</v>
      </c>
      <c r="B200">
        <v>1</v>
      </c>
      <c r="E200">
        <v>1</v>
      </c>
      <c r="G200" s="2" t="s">
        <v>265</v>
      </c>
    </row>
    <row r="201" spans="1:8">
      <c r="A201" s="2" t="s">
        <v>265</v>
      </c>
      <c r="B201">
        <v>1</v>
      </c>
      <c r="C201">
        <v>1</v>
      </c>
      <c r="E201">
        <v>2</v>
      </c>
      <c r="G201" s="2" t="s">
        <v>822</v>
      </c>
      <c r="H201">
        <v>1</v>
      </c>
    </row>
    <row r="202" spans="1:8">
      <c r="A202" s="2" t="s">
        <v>822</v>
      </c>
      <c r="C202">
        <v>1</v>
      </c>
      <c r="E202">
        <v>1</v>
      </c>
      <c r="G202" s="2" t="s">
        <v>316</v>
      </c>
      <c r="H202">
        <v>1</v>
      </c>
    </row>
    <row r="203" spans="1:8">
      <c r="A203" s="2" t="s">
        <v>316</v>
      </c>
      <c r="B203">
        <v>1</v>
      </c>
      <c r="E203">
        <v>1</v>
      </c>
      <c r="G203" s="2" t="s">
        <v>457</v>
      </c>
    </row>
    <row r="204" spans="1:8">
      <c r="A204" s="2" t="s">
        <v>457</v>
      </c>
      <c r="C204">
        <v>2</v>
      </c>
      <c r="E204">
        <v>2</v>
      </c>
      <c r="G204" s="2" t="s">
        <v>690</v>
      </c>
    </row>
    <row r="205" spans="1:8">
      <c r="A205" s="2" t="s">
        <v>690</v>
      </c>
      <c r="C205">
        <v>1</v>
      </c>
      <c r="E205">
        <v>1</v>
      </c>
      <c r="G205" s="2" t="s">
        <v>303</v>
      </c>
      <c r="H205">
        <v>1</v>
      </c>
    </row>
    <row r="206" spans="1:8">
      <c r="A206" s="2" t="s">
        <v>303</v>
      </c>
      <c r="B206">
        <v>1</v>
      </c>
      <c r="E206">
        <v>1</v>
      </c>
      <c r="G206" s="2" t="s">
        <v>363</v>
      </c>
    </row>
    <row r="207" spans="1:8">
      <c r="A207" s="2" t="s">
        <v>363</v>
      </c>
      <c r="G207" s="2" t="s">
        <v>364</v>
      </c>
      <c r="H207">
        <v>176</v>
      </c>
    </row>
    <row r="208" spans="1:8">
      <c r="A208" s="2" t="s">
        <v>364</v>
      </c>
      <c r="B208">
        <v>181</v>
      </c>
      <c r="C208">
        <v>169</v>
      </c>
      <c r="D208">
        <v>9</v>
      </c>
      <c r="E208">
        <v>359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BC906-09BB-418B-AE21-6023B5A4CEB4}">
  <sheetPr>
    <tabColor theme="8" tint="0.39997558519241921"/>
  </sheetPr>
  <dimension ref="A1:Q2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5" sqref="O5"/>
    </sheetView>
  </sheetViews>
  <sheetFormatPr defaultColWidth="8.83203125" defaultRowHeight="18"/>
  <cols>
    <col min="1" max="1" width="12.58203125" style="6" customWidth="1"/>
    <col min="2" max="2" width="11.5" style="6" customWidth="1"/>
    <col min="3" max="4" width="11.5" style="7" customWidth="1"/>
    <col min="5" max="6" width="13.4140625" style="6" customWidth="1"/>
    <col min="7" max="8" width="9.83203125" style="6" customWidth="1"/>
    <col min="9" max="10" width="20.4140625" style="6" customWidth="1"/>
    <col min="11" max="11" width="14.1640625" style="6" customWidth="1"/>
    <col min="12" max="12" width="15.4140625" style="6" customWidth="1"/>
    <col min="13" max="13" width="12.1640625" style="6" customWidth="1"/>
    <col min="14" max="15" width="12.08203125" style="6" customWidth="1"/>
    <col min="16" max="16" width="9.83203125" style="6" customWidth="1"/>
    <col min="17" max="17" width="21.5" customWidth="1"/>
    <col min="18" max="16384" width="8.83203125" style="6"/>
  </cols>
  <sheetData>
    <row r="1" spans="1:17" ht="34.75" customHeight="1">
      <c r="A1" s="6" t="s">
        <v>468</v>
      </c>
      <c r="B1" s="6" t="s">
        <v>483</v>
      </c>
      <c r="C1" s="7" t="s">
        <v>494</v>
      </c>
      <c r="D1" s="7" t="s">
        <v>495</v>
      </c>
      <c r="E1" s="6" t="s">
        <v>496</v>
      </c>
      <c r="F1" s="6" t="s">
        <v>512</v>
      </c>
      <c r="G1" s="6" t="s">
        <v>469</v>
      </c>
      <c r="H1" s="6" t="s">
        <v>470</v>
      </c>
      <c r="I1" s="6" t="s">
        <v>475</v>
      </c>
      <c r="J1" s="6" t="s">
        <v>752</v>
      </c>
      <c r="K1" s="6" t="s">
        <v>811</v>
      </c>
      <c r="L1" s="6" t="s">
        <v>471</v>
      </c>
      <c r="M1" s="6" t="s">
        <v>472</v>
      </c>
      <c r="N1" s="6" t="s">
        <v>473</v>
      </c>
      <c r="O1" s="6" t="s">
        <v>506</v>
      </c>
      <c r="P1" s="6" t="s">
        <v>474</v>
      </c>
      <c r="Q1" s="7" t="s">
        <v>860</v>
      </c>
    </row>
    <row r="2" spans="1:17">
      <c r="A2" s="6" t="s">
        <v>15</v>
      </c>
      <c r="B2" s="6">
        <f>COUNTIFS(全コメントデータ!C:C,テーブル2[[#This Row],[ポケモン]],全コメントデータ!D:D,"&lt;&gt;"&amp;"自己レス")</f>
        <v>10</v>
      </c>
      <c r="C2" s="7">
        <f>COUNTIFS(全コメントデータ!C:C,テーブル2[[#This Row],[ポケモン]],全コメントデータ!D:D,"自己レスの前")</f>
        <v>5</v>
      </c>
      <c r="D2" s="7">
        <f>COUNTIFS(全コメントデータ!C:C,テーブル2[[#This Row],[ポケモン]],全コメントデータ!D:D,"自己レスの後")</f>
        <v>5</v>
      </c>
      <c r="E2" s="6" t="s">
        <v>480</v>
      </c>
      <c r="F2" s="6" t="s">
        <v>514</v>
      </c>
      <c r="G2" s="6" t="s">
        <v>256</v>
      </c>
      <c r="H2" s="6" t="s">
        <v>560</v>
      </c>
      <c r="I2" s="6" t="s">
        <v>511</v>
      </c>
      <c r="J2" s="6" t="s">
        <v>789</v>
      </c>
      <c r="K2" s="6" t="str">
        <f>IF(テーブル2[[#This Row],[言われた回数]]&gt;2,"多数派","少数派")</f>
        <v>多数派</v>
      </c>
      <c r="L2" s="6" t="s">
        <v>480</v>
      </c>
      <c r="M2" s="6" t="s">
        <v>478</v>
      </c>
      <c r="N2" s="6" t="s">
        <v>478</v>
      </c>
      <c r="O2" s="6" t="s">
        <v>509</v>
      </c>
      <c r="P2" s="6" t="s">
        <v>500</v>
      </c>
      <c r="Q2" s="6">
        <f>COUNTIFS(全コメントデータ!C:C,テーブル2[[#This Row],[ポケモン]],全コメントデータ!G:G,"&lt;&gt;"&amp;"")</f>
        <v>5</v>
      </c>
    </row>
    <row r="3" spans="1:17">
      <c r="A3" s="6" t="s">
        <v>115</v>
      </c>
      <c r="B3" s="6">
        <f>COUNTIFS(全コメントデータ!C:C,テーブル2[[#This Row],[ポケモン]],全コメントデータ!D:D,"&lt;&gt;"&amp;"自己レス")</f>
        <v>8</v>
      </c>
      <c r="C3" s="7">
        <f>COUNTIFS(全コメントデータ!C:C,テーブル2[[#This Row],[ポケモン]],全コメントデータ!D:D,"自己レスの前")</f>
        <v>5</v>
      </c>
      <c r="D3" s="7">
        <f>COUNTIFS(全コメントデータ!C:C,テーブル2[[#This Row],[ポケモン]],全コメントデータ!D:D,"自己レスの後")</f>
        <v>3</v>
      </c>
      <c r="E3" s="6" t="s">
        <v>480</v>
      </c>
      <c r="F3" s="6" t="s">
        <v>514</v>
      </c>
      <c r="G3" s="6" t="s">
        <v>556</v>
      </c>
      <c r="H3" s="6" t="s">
        <v>560</v>
      </c>
      <c r="I3" s="6" t="s">
        <v>511</v>
      </c>
      <c r="J3" s="6" t="s">
        <v>584</v>
      </c>
      <c r="K3" s="6" t="str">
        <f>IF(テーブル2[[#This Row],[言われた回数]]&gt;2,"多数派","少数派")</f>
        <v>多数派</v>
      </c>
      <c r="L3" s="6" t="s">
        <v>480</v>
      </c>
      <c r="M3" s="6" t="s">
        <v>478</v>
      </c>
      <c r="N3" s="6" t="s">
        <v>478</v>
      </c>
      <c r="O3" s="6" t="s">
        <v>508</v>
      </c>
      <c r="P3" s="6" t="s">
        <v>510</v>
      </c>
      <c r="Q3" s="6">
        <f>COUNTIFS(全コメントデータ!C:C,テーブル2[[#This Row],[ポケモン]],全コメントデータ!G:G,"&lt;&gt;"&amp;"")</f>
        <v>5</v>
      </c>
    </row>
    <row r="4" spans="1:17">
      <c r="A4" s="6" t="s">
        <v>80</v>
      </c>
      <c r="B4" s="6">
        <f>COUNTIFS(全コメントデータ!C:C,テーブル2[[#This Row],[ポケモン]],全コメントデータ!D:D,"&lt;&gt;"&amp;"自己レス")</f>
        <v>6</v>
      </c>
      <c r="C4" s="7">
        <f>COUNTIFS(全コメントデータ!C:C,テーブル2[[#This Row],[ポケモン]],全コメントデータ!D:D,"自己レスの前")</f>
        <v>5</v>
      </c>
      <c r="D4" s="7">
        <f>COUNTIFS(全コメントデータ!C:C,テーブル2[[#This Row],[ポケモン]],全コメントデータ!D:D,"自己レスの後")</f>
        <v>1</v>
      </c>
      <c r="E4" s="6" t="s">
        <v>497</v>
      </c>
      <c r="F4" s="6" t="s">
        <v>513</v>
      </c>
      <c r="G4" s="6" t="s">
        <v>568</v>
      </c>
      <c r="H4" s="6" t="s">
        <v>553</v>
      </c>
      <c r="I4" s="6" t="s">
        <v>482</v>
      </c>
      <c r="J4" s="6" t="s">
        <v>793</v>
      </c>
      <c r="K4" s="6" t="str">
        <f>IF(テーブル2[[#This Row],[言われた回数]]&gt;2,"多数派","少数派")</f>
        <v>多数派</v>
      </c>
      <c r="L4" s="6" t="s">
        <v>498</v>
      </c>
      <c r="M4" s="6" t="s">
        <v>499</v>
      </c>
      <c r="N4" s="6" t="s">
        <v>478</v>
      </c>
      <c r="O4" s="6" t="s">
        <v>507</v>
      </c>
      <c r="P4" s="6" t="s">
        <v>500</v>
      </c>
      <c r="Q4" s="6">
        <f>COUNTIFS(全コメントデータ!C:C,テーブル2[[#This Row],[ポケモン]],全コメントデータ!G:G,"&lt;&gt;"&amp;"")</f>
        <v>5</v>
      </c>
    </row>
    <row r="5" spans="1:17">
      <c r="A5" s="6" t="s">
        <v>178</v>
      </c>
      <c r="B5" s="6">
        <f>COUNTIFS(全コメントデータ!C:C,テーブル2[[#This Row],[ポケモン]],全コメントデータ!D:D,"&lt;&gt;"&amp;"自己レス")</f>
        <v>8</v>
      </c>
      <c r="C5" s="7">
        <f>COUNTIFS(全コメントデータ!C:C,テーブル2[[#This Row],[ポケモン]],全コメントデータ!D:D,"自己レスの前")</f>
        <v>3</v>
      </c>
      <c r="D5" s="7">
        <f>COUNTIFS(全コメントデータ!C:C,テーブル2[[#This Row],[ポケモン]],全コメントデータ!D:D,"自己レスの後")</f>
        <v>5</v>
      </c>
      <c r="E5" s="6" t="s">
        <v>480</v>
      </c>
      <c r="F5" s="6" t="s">
        <v>514</v>
      </c>
      <c r="G5" s="6" t="s">
        <v>562</v>
      </c>
      <c r="H5" s="6" t="s">
        <v>560</v>
      </c>
      <c r="J5" s="6" t="s">
        <v>792</v>
      </c>
      <c r="K5" s="6" t="str">
        <f>IF(テーブル2[[#This Row],[言われた回数]]&gt;2,"多数派","少数派")</f>
        <v>多数派</v>
      </c>
      <c r="Q5" s="6">
        <f>COUNTIFS(全コメントデータ!C:C,テーブル2[[#This Row],[ポケモン]],全コメントデータ!G:G,"&lt;&gt;"&amp;"")</f>
        <v>4</v>
      </c>
    </row>
    <row r="6" spans="1:17">
      <c r="A6" s="6" t="s">
        <v>5</v>
      </c>
      <c r="B6" s="6">
        <f>COUNTIFS(全コメントデータ!C:C,テーブル2[[#This Row],[ポケモン]],全コメントデータ!D:D,"&lt;&gt;"&amp;"自己レス")</f>
        <v>7</v>
      </c>
      <c r="C6" s="7">
        <f>COUNTIFS(全コメントデータ!C:C,テーブル2[[#This Row],[ポケモン]],全コメントデータ!D:D,"自己レスの前")</f>
        <v>4</v>
      </c>
      <c r="D6" s="7">
        <f>COUNTIFS(全コメントデータ!C:C,テーブル2[[#This Row],[ポケモン]],全コメントデータ!D:D,"自己レスの後")</f>
        <v>3</v>
      </c>
      <c r="E6" s="6" t="s">
        <v>505</v>
      </c>
      <c r="F6" s="6" t="s">
        <v>513</v>
      </c>
      <c r="G6" s="6" t="s">
        <v>256</v>
      </c>
      <c r="H6" s="6" t="s">
        <v>551</v>
      </c>
      <c r="I6" s="6" t="s">
        <v>511</v>
      </c>
      <c r="J6" s="6" t="s">
        <v>791</v>
      </c>
      <c r="K6" s="6" t="str">
        <f>IF(テーブル2[[#This Row],[言われた回数]]&gt;2,"多数派","少数派")</f>
        <v>多数派</v>
      </c>
      <c r="L6" s="6" t="s">
        <v>498</v>
      </c>
      <c r="M6" s="6" t="s">
        <v>499</v>
      </c>
      <c r="N6" s="6" t="s">
        <v>478</v>
      </c>
      <c r="O6" s="6" t="s">
        <v>509</v>
      </c>
      <c r="P6" s="6" t="s">
        <v>500</v>
      </c>
      <c r="Q6" s="6">
        <f>COUNTIFS(全コメントデータ!C:C,テーブル2[[#This Row],[ポケモン]],全コメントデータ!G:G,"&lt;&gt;"&amp;"")</f>
        <v>4</v>
      </c>
    </row>
    <row r="7" spans="1:17">
      <c r="A7" s="6" t="s">
        <v>38</v>
      </c>
      <c r="B7" s="6">
        <f>COUNTIFS(全コメントデータ!C:C,テーブル2[[#This Row],[ポケモン]],全コメントデータ!D:D,"&lt;&gt;"&amp;"自己レス")</f>
        <v>6</v>
      </c>
      <c r="C7" s="7">
        <f>COUNTIFS(全コメントデータ!C:C,テーブル2[[#This Row],[ポケモン]],全コメントデータ!D:D,"自己レスの前")</f>
        <v>3</v>
      </c>
      <c r="D7" s="7">
        <f>COUNTIFS(全コメントデータ!C:C,テーブル2[[#This Row],[ポケモン]],全コメントデータ!D:D,"自己レスの後")</f>
        <v>3</v>
      </c>
      <c r="E7" s="6" t="s">
        <v>480</v>
      </c>
      <c r="F7" s="6" t="s">
        <v>514</v>
      </c>
      <c r="G7" s="6" t="s">
        <v>556</v>
      </c>
      <c r="H7" s="6">
        <v>0</v>
      </c>
      <c r="J7" s="6" t="s">
        <v>584</v>
      </c>
      <c r="K7" s="6" t="str">
        <f>IF(テーブル2[[#This Row],[言われた回数]]&gt;2,"多数派","少数派")</f>
        <v>多数派</v>
      </c>
      <c r="Q7" s="6">
        <f>COUNTIFS(全コメントデータ!C:C,テーブル2[[#This Row],[ポケモン]],全コメントデータ!G:G,"&lt;&gt;"&amp;"")</f>
        <v>4</v>
      </c>
    </row>
    <row r="8" spans="1:17">
      <c r="A8" s="6" t="s">
        <v>76</v>
      </c>
      <c r="B8" s="6">
        <f>COUNTIFS(全コメントデータ!C:C,テーブル2[[#This Row],[ポケモン]],全コメントデータ!D:D,"&lt;&gt;"&amp;"自己レス")</f>
        <v>4</v>
      </c>
      <c r="C8" s="7">
        <f>COUNTIFS(全コメントデータ!C:C,テーブル2[[#This Row],[ポケモン]],全コメントデータ!D:D,"自己レスの前")</f>
        <v>3</v>
      </c>
      <c r="D8" s="7">
        <f>COUNTIFS(全コメントデータ!C:C,テーブル2[[#This Row],[ポケモン]],全コメントデータ!D:D,"自己レスの後")</f>
        <v>1</v>
      </c>
      <c r="E8" s="6" t="s">
        <v>516</v>
      </c>
      <c r="F8" s="6" t="s">
        <v>513</v>
      </c>
      <c r="G8" s="6" t="s">
        <v>570</v>
      </c>
      <c r="H8" s="6">
        <v>0</v>
      </c>
      <c r="J8" s="6" t="s">
        <v>796</v>
      </c>
      <c r="K8" s="6" t="str">
        <f>IF(テーブル2[[#This Row],[言われた回数]]&gt;2,"多数派","少数派")</f>
        <v>多数派</v>
      </c>
      <c r="Q8" s="6">
        <f>COUNTIFS(全コメントデータ!C:C,テーブル2[[#This Row],[ポケモン]],全コメントデータ!G:G,"&lt;&gt;"&amp;"")</f>
        <v>4</v>
      </c>
    </row>
    <row r="9" spans="1:17">
      <c r="A9" s="6" t="s">
        <v>121</v>
      </c>
      <c r="B9" s="6">
        <f>COUNTIFS(全コメントデータ!C:C,テーブル2[[#This Row],[ポケモン]],全コメントデータ!D:D,"&lt;&gt;"&amp;"自己レス")</f>
        <v>4</v>
      </c>
      <c r="C9" s="7">
        <f>COUNTIFS(全コメントデータ!C:C,テーブル2[[#This Row],[ポケモン]],全コメントデータ!D:D,"自己レスの前")</f>
        <v>1</v>
      </c>
      <c r="D9" s="7">
        <f>COUNTIFS(全コメントデータ!C:C,テーブル2[[#This Row],[ポケモン]],全コメントデータ!D:D,"自己レスの後")</f>
        <v>3</v>
      </c>
      <c r="E9" s="6" t="s">
        <v>480</v>
      </c>
      <c r="F9" s="6" t="s">
        <v>514</v>
      </c>
      <c r="G9" s="6" t="s">
        <v>564</v>
      </c>
      <c r="H9" s="6" t="s">
        <v>562</v>
      </c>
      <c r="J9" s="6" t="s">
        <v>584</v>
      </c>
      <c r="K9" s="6" t="str">
        <f>IF(テーブル2[[#This Row],[言われた回数]]&gt;2,"多数派","少数派")</f>
        <v>多数派</v>
      </c>
      <c r="Q9" s="6">
        <f>COUNTIFS(全コメントデータ!C:C,テーブル2[[#This Row],[ポケモン]],全コメントデータ!G:G,"&lt;&gt;"&amp;"")</f>
        <v>4</v>
      </c>
    </row>
    <row r="10" spans="1:17">
      <c r="A10" s="6" t="s">
        <v>187</v>
      </c>
      <c r="B10" s="6">
        <f>COUNTIFS(全コメントデータ!C:C,テーブル2[[#This Row],[ポケモン]],全コメントデータ!D:D,"&lt;&gt;"&amp;"自己レス")</f>
        <v>9</v>
      </c>
      <c r="C10" s="7">
        <f>COUNTIFS(全コメントデータ!C:C,テーブル2[[#This Row],[ポケモン]],全コメントデータ!D:D,"自己レスの前")</f>
        <v>3</v>
      </c>
      <c r="D10" s="7">
        <f>COUNTIFS(全コメントデータ!C:C,テーブル2[[#This Row],[ポケモン]],全コメントデータ!D:D,"自己レスの後")</f>
        <v>6</v>
      </c>
      <c r="E10" s="6" t="s">
        <v>480</v>
      </c>
      <c r="F10" s="6" t="s">
        <v>514</v>
      </c>
      <c r="G10" s="6" t="s">
        <v>556</v>
      </c>
      <c r="H10" s="6">
        <v>0</v>
      </c>
      <c r="I10" s="6" t="s">
        <v>511</v>
      </c>
      <c r="J10" s="6" t="s">
        <v>790</v>
      </c>
      <c r="K10" s="6" t="str">
        <f>IF(テーブル2[[#This Row],[言われた回数]]&gt;2,"多数派","少数派")</f>
        <v>多数派</v>
      </c>
      <c r="L10" s="6" t="s">
        <v>502</v>
      </c>
      <c r="M10" s="6" t="s">
        <v>478</v>
      </c>
      <c r="N10" s="6" t="s">
        <v>478</v>
      </c>
      <c r="O10" s="6" t="s">
        <v>508</v>
      </c>
      <c r="P10" s="6" t="s">
        <v>510</v>
      </c>
      <c r="Q10" s="6">
        <f>COUNTIFS(全コメントデータ!C:C,テーブル2[[#This Row],[ポケモン]],全コメントデータ!G:G,"&lt;&gt;"&amp;"")</f>
        <v>3</v>
      </c>
    </row>
    <row r="11" spans="1:17">
      <c r="A11" s="6" t="s">
        <v>131</v>
      </c>
      <c r="B11" s="6">
        <f>COUNTIFS(全コメントデータ!C:C,テーブル2[[#This Row],[ポケモン]],全コメントデータ!D:D,"&lt;&gt;"&amp;"自己レス")</f>
        <v>5</v>
      </c>
      <c r="C11" s="7">
        <f>COUNTIFS(全コメントデータ!C:C,テーブル2[[#This Row],[ポケモン]],全コメントデータ!D:D,"自己レスの前")</f>
        <v>2</v>
      </c>
      <c r="D11" s="7">
        <f>COUNTIFS(全コメントデータ!C:C,テーブル2[[#This Row],[ポケモン]],全コメントデータ!D:D,"自己レスの後")</f>
        <v>3</v>
      </c>
      <c r="E11" s="6" t="s">
        <v>480</v>
      </c>
      <c r="F11" s="6" t="s">
        <v>514</v>
      </c>
      <c r="G11" s="6" t="s">
        <v>560</v>
      </c>
      <c r="H11" s="6">
        <v>0</v>
      </c>
      <c r="I11" s="6" t="s">
        <v>482</v>
      </c>
      <c r="J11" s="6" t="s">
        <v>584</v>
      </c>
      <c r="K11" s="6" t="str">
        <f>IF(テーブル2[[#This Row],[言われた回数]]&gt;2,"多数派","少数派")</f>
        <v>多数派</v>
      </c>
      <c r="L11" s="6" t="s">
        <v>480</v>
      </c>
      <c r="M11" s="6" t="s">
        <v>478</v>
      </c>
      <c r="N11" s="6" t="s">
        <v>478</v>
      </c>
      <c r="O11" s="6" t="s">
        <v>508</v>
      </c>
      <c r="P11" s="6" t="s">
        <v>503</v>
      </c>
      <c r="Q11" s="6">
        <f>COUNTIFS(全コメントデータ!C:C,テーブル2[[#This Row],[ポケモン]],全コメントデータ!G:G,"&lt;&gt;"&amp;"")</f>
        <v>3</v>
      </c>
    </row>
    <row r="12" spans="1:17">
      <c r="A12" s="6" t="s">
        <v>9</v>
      </c>
      <c r="B12" s="6">
        <f>COUNTIFS(全コメントデータ!C:C,テーブル2[[#This Row],[ポケモン]],全コメントデータ!D:D,"&lt;&gt;"&amp;"自己レス")</f>
        <v>5</v>
      </c>
      <c r="C12" s="7">
        <f>COUNTIFS(全コメントデータ!C:C,テーブル2[[#This Row],[ポケモン]],全コメントデータ!D:D,"自己レスの前")</f>
        <v>5</v>
      </c>
      <c r="D12" s="7">
        <f>COUNTIFS(全コメントデータ!C:C,テーブル2[[#This Row],[ポケモン]],全コメントデータ!D:D,"自己レスの後")</f>
        <v>0</v>
      </c>
      <c r="E12" s="6" t="s">
        <v>480</v>
      </c>
      <c r="F12" s="6" t="s">
        <v>514</v>
      </c>
      <c r="G12" s="6" t="s">
        <v>560</v>
      </c>
      <c r="H12" s="6">
        <v>0</v>
      </c>
      <c r="I12" s="6" t="s">
        <v>482</v>
      </c>
      <c r="J12" s="6" t="s">
        <v>795</v>
      </c>
      <c r="K12" s="6" t="str">
        <f>IF(テーブル2[[#This Row],[言われた回数]]&gt;2,"多数派","少数派")</f>
        <v>多数派</v>
      </c>
      <c r="L12" s="6" t="s">
        <v>480</v>
      </c>
      <c r="M12" s="6" t="s">
        <v>478</v>
      </c>
      <c r="N12" s="6" t="s">
        <v>478</v>
      </c>
      <c r="O12" s="6" t="s">
        <v>508</v>
      </c>
      <c r="P12" s="6" t="s">
        <v>510</v>
      </c>
      <c r="Q12" s="6">
        <f>COUNTIFS(全コメントデータ!C:C,テーブル2[[#This Row],[ポケモン]],全コメントデータ!G:G,"&lt;&gt;"&amp;"")</f>
        <v>3</v>
      </c>
    </row>
    <row r="13" spans="1:17">
      <c r="A13" s="6" t="s">
        <v>133</v>
      </c>
      <c r="B13" s="6">
        <f>COUNTIFS(全コメントデータ!C:C,テーブル2[[#This Row],[ポケモン]],全コメントデータ!D:D,"&lt;&gt;"&amp;"自己レス")</f>
        <v>4</v>
      </c>
      <c r="C13" s="7">
        <f>COUNTIFS(全コメントデータ!C:C,テーブル2[[#This Row],[ポケモン]],全コメントデータ!D:D,"自己レスの前")</f>
        <v>2</v>
      </c>
      <c r="D13" s="7">
        <f>COUNTIFS(全コメントデータ!C:C,テーブル2[[#This Row],[ポケモン]],全コメントデータ!D:D,"自己レスの後")</f>
        <v>2</v>
      </c>
      <c r="E13" s="6" t="s">
        <v>480</v>
      </c>
      <c r="F13" s="6" t="s">
        <v>514</v>
      </c>
      <c r="G13" s="6" t="s">
        <v>556</v>
      </c>
      <c r="H13" s="6">
        <v>0</v>
      </c>
      <c r="J13" s="6" t="s">
        <v>584</v>
      </c>
      <c r="K13" s="6" t="str">
        <f>IF(テーブル2[[#This Row],[言われた回数]]&gt;2,"多数派","少数派")</f>
        <v>多数派</v>
      </c>
      <c r="Q13" s="6">
        <f>COUNTIFS(全コメントデータ!C:C,テーブル2[[#This Row],[ポケモン]],全コメントデータ!G:G,"&lt;&gt;"&amp;"")</f>
        <v>3</v>
      </c>
    </row>
    <row r="14" spans="1:17">
      <c r="A14" s="6" t="s">
        <v>424</v>
      </c>
      <c r="B14" s="6">
        <f>COUNTIFS(全コメントデータ!C:C,テーブル2[[#This Row],[ポケモン]],全コメントデータ!D:D,"&lt;&gt;"&amp;"自己レス")</f>
        <v>4</v>
      </c>
      <c r="C14" s="7">
        <f>COUNTIFS(全コメントデータ!C:C,テーブル2[[#This Row],[ポケモン]],全コメントデータ!D:D,"自己レスの前")</f>
        <v>1</v>
      </c>
      <c r="D14" s="7">
        <f>COUNTIFS(全コメントデータ!C:C,テーブル2[[#This Row],[ポケモン]],全コメントデータ!D:D,"自己レスの後")</f>
        <v>3</v>
      </c>
      <c r="E14" s="6" t="s">
        <v>480</v>
      </c>
      <c r="F14" s="6" t="s">
        <v>514</v>
      </c>
      <c r="G14" s="6" t="s">
        <v>556</v>
      </c>
      <c r="H14" s="6">
        <v>0</v>
      </c>
      <c r="J14" s="6" t="s">
        <v>798</v>
      </c>
      <c r="K14" s="6" t="str">
        <f>IF(テーブル2[[#This Row],[言われた回数]]&gt;2,"多数派","少数派")</f>
        <v>多数派</v>
      </c>
      <c r="Q14" s="6">
        <f>COUNTIFS(全コメントデータ!C:C,テーブル2[[#This Row],[ポケモン]],全コメントデータ!G:G,"&lt;&gt;"&amp;"")</f>
        <v>3</v>
      </c>
    </row>
    <row r="15" spans="1:17">
      <c r="A15" s="6" t="s">
        <v>20</v>
      </c>
      <c r="B15" s="6">
        <f>COUNTIFS(全コメントデータ!C:C,テーブル2[[#This Row],[ポケモン]],全コメントデータ!D:D,"&lt;&gt;"&amp;"自己レス")</f>
        <v>3</v>
      </c>
      <c r="C15" s="7">
        <f>COUNTIFS(全コメントデータ!C:C,テーブル2[[#This Row],[ポケモン]],全コメントデータ!D:D,"自己レスの前")</f>
        <v>2</v>
      </c>
      <c r="D15" s="7">
        <f>COUNTIFS(全コメントデータ!C:C,テーブル2[[#This Row],[ポケモン]],全コメントデータ!D:D,"自己レスの後")</f>
        <v>1</v>
      </c>
      <c r="E15" s="6" t="s">
        <v>480</v>
      </c>
      <c r="F15" s="6" t="s">
        <v>514</v>
      </c>
      <c r="G15" s="6" t="s">
        <v>256</v>
      </c>
      <c r="H15" s="6" t="s">
        <v>552</v>
      </c>
      <c r="I15" s="6" t="s">
        <v>482</v>
      </c>
      <c r="J15" s="6" t="s">
        <v>800</v>
      </c>
      <c r="K15" s="6" t="str">
        <f>IF(テーブル2[[#This Row],[言われた回数]]&gt;2,"多数派","少数派")</f>
        <v>多数派</v>
      </c>
      <c r="L15" s="6" t="s">
        <v>480</v>
      </c>
      <c r="M15" s="6" t="s">
        <v>478</v>
      </c>
      <c r="N15" s="6" t="s">
        <v>481</v>
      </c>
      <c r="P15" s="6" t="s">
        <v>478</v>
      </c>
      <c r="Q15" s="6">
        <f>COUNTIFS(全コメントデータ!C:C,テーブル2[[#This Row],[ポケモン]],全コメントデータ!G:G,"&lt;&gt;"&amp;"")</f>
        <v>3</v>
      </c>
    </row>
    <row r="16" spans="1:17">
      <c r="A16" s="6" t="s">
        <v>58</v>
      </c>
      <c r="B16" s="6">
        <f>COUNTIFS(全コメントデータ!C:C,テーブル2[[#This Row],[ポケモン]],全コメントデータ!D:D,"&lt;&gt;"&amp;"自己レス")</f>
        <v>6</v>
      </c>
      <c r="C16" s="7">
        <f>COUNTIFS(全コメントデータ!C:C,テーブル2[[#This Row],[ポケモン]],全コメントデータ!D:D,"自己レスの前")</f>
        <v>3</v>
      </c>
      <c r="D16" s="7">
        <f>COUNTIFS(全コメントデータ!C:C,テーブル2[[#This Row],[ポケモン]],全コメントデータ!D:D,"自己レスの後")</f>
        <v>3</v>
      </c>
      <c r="E16" s="6" t="s">
        <v>480</v>
      </c>
      <c r="F16" s="6" t="s">
        <v>514</v>
      </c>
      <c r="G16" s="6" t="s">
        <v>556</v>
      </c>
      <c r="H16" s="6" t="s">
        <v>560</v>
      </c>
      <c r="I16" s="6" t="s">
        <v>482</v>
      </c>
      <c r="J16" s="6" t="s">
        <v>584</v>
      </c>
      <c r="K16" s="6" t="str">
        <f>IF(テーブル2[[#This Row],[言われた回数]]&gt;2,"多数派","少数派")</f>
        <v>多数派</v>
      </c>
      <c r="L16" s="6" t="s">
        <v>480</v>
      </c>
      <c r="M16" s="6" t="s">
        <v>478</v>
      </c>
      <c r="N16" s="6" t="s">
        <v>478</v>
      </c>
      <c r="O16" s="6" t="s">
        <v>508</v>
      </c>
      <c r="P16" s="6" t="s">
        <v>503</v>
      </c>
      <c r="Q16" s="6">
        <f>COUNTIFS(全コメントデータ!C:C,テーブル2[[#This Row],[ポケモン]],全コメントデータ!G:G,"&lt;&gt;"&amp;"")</f>
        <v>2</v>
      </c>
    </row>
    <row r="17" spans="1:17">
      <c r="A17" s="6" t="s">
        <v>117</v>
      </c>
      <c r="B17" s="6">
        <f>COUNTIFS(全コメントデータ!C:C,テーブル2[[#This Row],[ポケモン]],全コメントデータ!D:D,"&lt;&gt;"&amp;"自己レス")</f>
        <v>6</v>
      </c>
      <c r="C17" s="7">
        <f>COUNTIFS(全コメントデータ!C:C,テーブル2[[#This Row],[ポケモン]],全コメントデータ!D:D,"自己レスの前")</f>
        <v>3</v>
      </c>
      <c r="D17" s="7">
        <f>COUNTIFS(全コメントデータ!C:C,テーブル2[[#This Row],[ポケモン]],全コメントデータ!D:D,"自己レスの後")</f>
        <v>3</v>
      </c>
      <c r="E17" s="6" t="s">
        <v>480</v>
      </c>
      <c r="F17" s="6" t="s">
        <v>514</v>
      </c>
      <c r="G17" s="6" t="s">
        <v>560</v>
      </c>
      <c r="H17" s="6">
        <v>0</v>
      </c>
      <c r="J17" s="6" t="s">
        <v>794</v>
      </c>
      <c r="K17" s="6" t="str">
        <f>IF(テーブル2[[#This Row],[言われた回数]]&gt;2,"多数派","少数派")</f>
        <v>多数派</v>
      </c>
      <c r="Q17" s="6">
        <f>COUNTIFS(全コメントデータ!C:C,テーブル2[[#This Row],[ポケモン]],全コメントデータ!G:G,"&lt;&gt;"&amp;"")</f>
        <v>2</v>
      </c>
    </row>
    <row r="18" spans="1:17">
      <c r="A18" s="6" t="s">
        <v>393</v>
      </c>
      <c r="B18" s="6">
        <f>COUNTIFS(全コメントデータ!C:C,テーブル2[[#This Row],[ポケモン]],全コメントデータ!D:D,"&lt;&gt;"&amp;"自己レス")</f>
        <v>3</v>
      </c>
      <c r="C18" s="7">
        <f>COUNTIFS(全コメントデータ!C:C,テーブル2[[#This Row],[ポケモン]],全コメントデータ!D:D,"自己レスの前")</f>
        <v>1</v>
      </c>
      <c r="D18" s="7">
        <f>COUNTIFS(全コメントデータ!C:C,テーブル2[[#This Row],[ポケモン]],全コメントデータ!D:D,"自己レスの後")</f>
        <v>2</v>
      </c>
      <c r="E18" s="6" t="s">
        <v>480</v>
      </c>
      <c r="F18" s="6" t="s">
        <v>514</v>
      </c>
      <c r="G18" s="6" t="s">
        <v>560</v>
      </c>
      <c r="H18" s="6">
        <v>0</v>
      </c>
      <c r="J18" s="6" t="s">
        <v>797</v>
      </c>
      <c r="K18" s="6" t="str">
        <f>IF(テーブル2[[#This Row],[言われた回数]]&gt;2,"多数派","少数派")</f>
        <v>多数派</v>
      </c>
      <c r="Q18" s="6">
        <f>COUNTIFS(全コメントデータ!C:C,テーブル2[[#This Row],[ポケモン]],全コメントデータ!G:G,"&lt;&gt;"&amp;"")</f>
        <v>2</v>
      </c>
    </row>
    <row r="19" spans="1:17">
      <c r="A19" s="6" t="s">
        <v>206</v>
      </c>
      <c r="B19" s="6">
        <f>COUNTIFS(全コメントデータ!C:C,テーブル2[[#This Row],[ポケモン]],全コメントデータ!D:D,"&lt;&gt;"&amp;"自己レス")</f>
        <v>3</v>
      </c>
      <c r="C19" s="7">
        <f>COUNTIFS(全コメントデータ!C:C,テーブル2[[#This Row],[ポケモン]],全コメントデータ!D:D,"自己レスの前")</f>
        <v>2</v>
      </c>
      <c r="D19" s="7">
        <f>COUNTIFS(全コメントデータ!C:C,テーブル2[[#This Row],[ポケモン]],全コメントデータ!D:D,"自己レスの後")</f>
        <v>1</v>
      </c>
      <c r="E19" s="6" t="s">
        <v>540</v>
      </c>
      <c r="F19" s="6" t="s">
        <v>514</v>
      </c>
      <c r="G19" s="6" t="s">
        <v>550</v>
      </c>
      <c r="H19" s="6" t="s">
        <v>551</v>
      </c>
      <c r="K19" s="6" t="str">
        <f>IF(テーブル2[[#This Row],[言われた回数]]&gt;2,"多数派","少数派")</f>
        <v>多数派</v>
      </c>
      <c r="Q19" s="6">
        <f>COUNTIFS(全コメントデータ!C:C,テーブル2[[#This Row],[ポケモン]],全コメントデータ!G:G,"&lt;&gt;"&amp;"")</f>
        <v>2</v>
      </c>
    </row>
    <row r="20" spans="1:17">
      <c r="A20" s="6" t="s">
        <v>176</v>
      </c>
      <c r="B20" s="6">
        <f>COUNTIFS(全コメントデータ!C:C,テーブル2[[#This Row],[ポケモン]],全コメントデータ!D:D,"&lt;&gt;"&amp;"自己レス")</f>
        <v>3</v>
      </c>
      <c r="C20" s="7">
        <f>COUNTIFS(全コメントデータ!C:C,テーブル2[[#This Row],[ポケモン]],全コメントデータ!D:D,"自己レスの前")</f>
        <v>2</v>
      </c>
      <c r="D20" s="7">
        <f>COUNTIFS(全コメントデータ!C:C,テーブル2[[#This Row],[ポケモン]],全コメントデータ!D:D,"自己レスの後")</f>
        <v>1</v>
      </c>
      <c r="E20" s="6" t="s">
        <v>549</v>
      </c>
      <c r="F20" s="6" t="s">
        <v>513</v>
      </c>
      <c r="G20" s="6" t="s">
        <v>556</v>
      </c>
      <c r="H20" s="6">
        <v>0</v>
      </c>
      <c r="J20" s="6" t="s">
        <v>799</v>
      </c>
      <c r="K20" s="6" t="str">
        <f>IF(テーブル2[[#This Row],[言われた回数]]&gt;2,"多数派","少数派")</f>
        <v>多数派</v>
      </c>
      <c r="Q20" s="6">
        <f>COUNTIFS(全コメントデータ!C:C,テーブル2[[#This Row],[ポケモン]],全コメントデータ!G:G,"&lt;&gt;"&amp;"")</f>
        <v>2</v>
      </c>
    </row>
    <row r="21" spans="1:17">
      <c r="A21" s="6" t="s">
        <v>24</v>
      </c>
      <c r="B21" s="6">
        <f>COUNTIFS(全コメントデータ!C:C,テーブル2[[#This Row],[ポケモン]],全コメントデータ!D:D,"&lt;&gt;"&amp;"自己レス")</f>
        <v>3</v>
      </c>
      <c r="C21" s="7">
        <f>COUNTIFS(全コメントデータ!C:C,テーブル2[[#This Row],[ポケモン]],全コメントデータ!D:D,"自己レスの前")</f>
        <v>2</v>
      </c>
      <c r="D21" s="7">
        <f>COUNTIFS(全コメントデータ!C:C,テーブル2[[#This Row],[ポケモン]],全コメントデータ!D:D,"自己レスの後")</f>
        <v>1</v>
      </c>
      <c r="E21" s="6" t="s">
        <v>516</v>
      </c>
      <c r="F21" s="6" t="s">
        <v>513</v>
      </c>
      <c r="G21" s="6" t="s">
        <v>568</v>
      </c>
      <c r="H21" s="6" t="s">
        <v>553</v>
      </c>
      <c r="J21" s="6" t="s">
        <v>801</v>
      </c>
      <c r="K21" s="6" t="str">
        <f>IF(テーブル2[[#This Row],[言われた回数]]&gt;2,"多数派","少数派")</f>
        <v>多数派</v>
      </c>
      <c r="Q21" s="6">
        <f>COUNTIFS(全コメントデータ!C:C,テーブル2[[#This Row],[ポケモン]],全コメントデータ!G:G,"&lt;&gt;"&amp;"")</f>
        <v>2</v>
      </c>
    </row>
    <row r="22" spans="1:17">
      <c r="A22" s="6" t="s">
        <v>465</v>
      </c>
      <c r="B22" s="6">
        <f>COUNTIFS(全コメントデータ!C:C,テーブル2[[#This Row],[ポケモン]],全コメントデータ!D:D,"&lt;&gt;"&amp;"自己レス")</f>
        <v>3</v>
      </c>
      <c r="C22" s="7">
        <f>COUNTIFS(全コメントデータ!C:C,テーブル2[[#This Row],[ポケモン]],全コメントデータ!D:D,"自己レスの前")</f>
        <v>1</v>
      </c>
      <c r="D22" s="7">
        <f>COUNTIFS(全コメントデータ!C:C,テーブル2[[#This Row],[ポケモン]],全コメントデータ!D:D,"自己レスの後")</f>
        <v>2</v>
      </c>
      <c r="E22" s="6" t="s">
        <v>480</v>
      </c>
      <c r="F22" s="6" t="s">
        <v>852</v>
      </c>
      <c r="G22" s="6" t="s">
        <v>560</v>
      </c>
      <c r="H22" s="6" t="s">
        <v>553</v>
      </c>
      <c r="J22" s="6" t="s">
        <v>803</v>
      </c>
      <c r="K22" s="6" t="str">
        <f>IF(テーブル2[[#This Row],[言われた回数]]&gt;2,"多数派","少数派")</f>
        <v>多数派</v>
      </c>
      <c r="Q22" s="6">
        <f>COUNTIFS(全コメントデータ!C:C,テーブル2[[#This Row],[ポケモン]],全コメントデータ!G:G,"&lt;&gt;"&amp;"")</f>
        <v>2</v>
      </c>
    </row>
    <row r="23" spans="1:17">
      <c r="A23" s="6" t="s">
        <v>68</v>
      </c>
      <c r="B23" s="6">
        <f>COUNTIFS(全コメントデータ!C:C,テーブル2[[#This Row],[ポケモン]],全コメントデータ!D:D,"&lt;&gt;"&amp;"自己レス")</f>
        <v>2</v>
      </c>
      <c r="C23" s="7">
        <f>COUNTIFS(全コメントデータ!C:C,テーブル2[[#This Row],[ポケモン]],全コメントデータ!D:D,"自己レスの前")</f>
        <v>2</v>
      </c>
      <c r="D23" s="7">
        <f>COUNTIFS(全コメントデータ!C:C,テーブル2[[#This Row],[ポケモン]],全コメントデータ!D:D,"自己レスの後")</f>
        <v>0</v>
      </c>
      <c r="E23" s="6" t="s">
        <v>517</v>
      </c>
      <c r="F23" s="6" t="s">
        <v>513</v>
      </c>
      <c r="G23" s="6" t="s">
        <v>561</v>
      </c>
      <c r="H23" s="6">
        <v>0</v>
      </c>
      <c r="K23" s="6" t="str">
        <f>IF(テーブル2[[#This Row],[言われた回数]]&gt;2,"多数派","少数派")</f>
        <v>少数派</v>
      </c>
      <c r="Q23" s="6">
        <f>COUNTIFS(全コメントデータ!C:C,テーブル2[[#This Row],[ポケモン]],全コメントデータ!G:G,"&lt;&gt;"&amp;"")</f>
        <v>2</v>
      </c>
    </row>
    <row r="24" spans="1:17">
      <c r="A24" s="6" t="s">
        <v>90</v>
      </c>
      <c r="B24" s="6">
        <f>COUNTIFS(全コメントデータ!C:C,テーブル2[[#This Row],[ポケモン]],全コメントデータ!D:D,"&lt;&gt;"&amp;"自己レス")</f>
        <v>2</v>
      </c>
      <c r="C24" s="7">
        <f>COUNTIFS(全コメントデータ!C:C,テーブル2[[#This Row],[ポケモン]],全コメントデータ!D:D,"自己レスの前")</f>
        <v>2</v>
      </c>
      <c r="D24" s="7">
        <f>COUNTIFS(全コメントデータ!C:C,テーブル2[[#This Row],[ポケモン]],全コメントデータ!D:D,"自己レスの後")</f>
        <v>0</v>
      </c>
      <c r="E24" s="6" t="s">
        <v>480</v>
      </c>
      <c r="F24" s="6" t="s">
        <v>853</v>
      </c>
      <c r="G24" s="6" t="s">
        <v>551</v>
      </c>
      <c r="H24" s="6" t="s">
        <v>559</v>
      </c>
      <c r="K24" s="6" t="str">
        <f>IF(テーブル2[[#This Row],[言われた回数]]&gt;2,"多数派","少数派")</f>
        <v>少数派</v>
      </c>
      <c r="Q24" s="6">
        <f>COUNTIFS(全コメントデータ!C:C,テーブル2[[#This Row],[ポケモン]],全コメントデータ!G:G,"&lt;&gt;"&amp;"")</f>
        <v>2</v>
      </c>
    </row>
    <row r="25" spans="1:17">
      <c r="A25" s="6" t="s">
        <v>195</v>
      </c>
      <c r="B25" s="6">
        <f>COUNTIFS(全コメントデータ!C:C,テーブル2[[#This Row],[ポケモン]],全コメントデータ!D:D,"&lt;&gt;"&amp;"自己レス")</f>
        <v>2</v>
      </c>
      <c r="C25" s="7">
        <f>COUNTIFS(全コメントデータ!C:C,テーブル2[[#This Row],[ポケモン]],全コメントデータ!D:D,"自己レスの前")</f>
        <v>2</v>
      </c>
      <c r="D25" s="7">
        <f>COUNTIFS(全コメントデータ!C:C,テーブル2[[#This Row],[ポケモン]],全コメントデータ!D:D,"自己レスの後")</f>
        <v>0</v>
      </c>
      <c r="E25" s="6" t="s">
        <v>517</v>
      </c>
      <c r="F25" s="6" t="s">
        <v>513</v>
      </c>
      <c r="G25" s="6" t="s">
        <v>561</v>
      </c>
      <c r="H25" s="6" t="s">
        <v>256</v>
      </c>
      <c r="J25" s="6" t="s">
        <v>806</v>
      </c>
      <c r="K25" s="6" t="str">
        <f>IF(テーブル2[[#This Row],[言われた回数]]&gt;2,"多数派","少数派")</f>
        <v>少数派</v>
      </c>
      <c r="Q25" s="6">
        <f>COUNTIFS(全コメントデータ!C:C,テーブル2[[#This Row],[ポケモン]],全コメントデータ!G:G,"&lt;&gt;"&amp;"")</f>
        <v>2</v>
      </c>
    </row>
    <row r="26" spans="1:17">
      <c r="A26" s="6" t="s">
        <v>22</v>
      </c>
      <c r="B26" s="6">
        <f>COUNTIFS(全コメントデータ!C:C,テーブル2[[#This Row],[ポケモン]],全コメントデータ!D:D,"&lt;&gt;"&amp;"自己レス")</f>
        <v>2</v>
      </c>
      <c r="C26" s="7">
        <f>COUNTIFS(全コメントデータ!C:C,テーブル2[[#This Row],[ポケモン]],全コメントデータ!D:D,"自己レスの前")</f>
        <v>1</v>
      </c>
      <c r="D26" s="7">
        <f>COUNTIFS(全コメントデータ!C:C,テーブル2[[#This Row],[ポケモン]],全コメントデータ!D:D,"自己レスの後")</f>
        <v>1</v>
      </c>
      <c r="E26" s="6" t="s">
        <v>516</v>
      </c>
      <c r="F26" s="6" t="s">
        <v>513</v>
      </c>
      <c r="G26" s="6" t="s">
        <v>561</v>
      </c>
      <c r="H26" s="6" t="s">
        <v>564</v>
      </c>
      <c r="K26" s="6" t="str">
        <f>IF(テーブル2[[#This Row],[言われた回数]]&gt;2,"多数派","少数派")</f>
        <v>少数派</v>
      </c>
      <c r="Q26" s="6">
        <f>COUNTIFS(全コメントデータ!C:C,テーブル2[[#This Row],[ポケモン]],全コメントデータ!G:G,"&lt;&gt;"&amp;"")</f>
        <v>2</v>
      </c>
    </row>
    <row r="27" spans="1:17">
      <c r="A27" s="6" t="s">
        <v>256</v>
      </c>
      <c r="B27" s="6">
        <f>COUNTIFS(全コメントデータ!C:C,テーブル2[[#This Row],[ポケモン]],全コメントデータ!D:D,"&lt;&gt;"&amp;"自己レス")</f>
        <v>2</v>
      </c>
      <c r="C27" s="7">
        <f>COUNTIFS(全コメントデータ!C:C,テーブル2[[#This Row],[ポケモン]],全コメントデータ!D:D,"自己レスの前")</f>
        <v>1</v>
      </c>
      <c r="D27" s="7">
        <f>COUNTIFS(全コメントデータ!C:C,テーブル2[[#This Row],[ポケモン]],全コメントデータ!D:D,"自己レスの後")</f>
        <v>1</v>
      </c>
      <c r="E27" s="6" t="s">
        <v>540</v>
      </c>
      <c r="F27" s="6" t="s">
        <v>853</v>
      </c>
      <c r="G27" s="6" t="s">
        <v>256</v>
      </c>
      <c r="H27" s="6" t="s">
        <v>551</v>
      </c>
      <c r="K27" s="6" t="str">
        <f>IF(テーブル2[[#This Row],[言われた回数]]&gt;2,"多数派","少数派")</f>
        <v>少数派</v>
      </c>
      <c r="Q27" s="6">
        <f>COUNTIFS(全コメントデータ!C:C,テーブル2[[#This Row],[ポケモン]],全コメントデータ!G:G,"&lt;&gt;"&amp;"")</f>
        <v>2</v>
      </c>
    </row>
    <row r="28" spans="1:17">
      <c r="A28" s="6" t="s">
        <v>185</v>
      </c>
      <c r="B28" s="6">
        <f>COUNTIFS(全コメントデータ!C:C,テーブル2[[#This Row],[ポケモン]],全コメントデータ!D:D,"&lt;&gt;"&amp;"自己レス")</f>
        <v>2</v>
      </c>
      <c r="C28" s="7">
        <f>COUNTIFS(全コメントデータ!C:C,テーブル2[[#This Row],[ポケモン]],全コメントデータ!D:D,"自己レスの前")</f>
        <v>1</v>
      </c>
      <c r="D28" s="7">
        <f>COUNTIFS(全コメントデータ!C:C,テーブル2[[#This Row],[ポケモン]],全コメントデータ!D:D,"自己レスの後")</f>
        <v>1</v>
      </c>
      <c r="E28" s="6" t="s">
        <v>480</v>
      </c>
      <c r="F28" s="6" t="s">
        <v>852</v>
      </c>
      <c r="G28" s="6" t="s">
        <v>556</v>
      </c>
      <c r="H28" s="6">
        <v>0</v>
      </c>
      <c r="K28" s="6" t="str">
        <f>IF(テーブル2[[#This Row],[言われた回数]]&gt;2,"多数派","少数派")</f>
        <v>少数派</v>
      </c>
      <c r="Q28" s="6">
        <f>COUNTIFS(全コメントデータ!C:C,テーブル2[[#This Row],[ポケモン]],全コメントデータ!G:G,"&lt;&gt;"&amp;"")</f>
        <v>2</v>
      </c>
    </row>
    <row r="29" spans="1:17">
      <c r="A29" s="6" t="s">
        <v>210</v>
      </c>
      <c r="B29" s="6">
        <f>COUNTIFS(全コメントデータ!C:C,テーブル2[[#This Row],[ポケモン]],全コメントデータ!D:D,"&lt;&gt;"&amp;"自己レス")</f>
        <v>4</v>
      </c>
      <c r="C29" s="7">
        <f>COUNTIFS(全コメントデータ!C:C,テーブル2[[#This Row],[ポケモン]],全コメントデータ!D:D,"自己レスの前")</f>
        <v>2</v>
      </c>
      <c r="D29" s="7">
        <f>COUNTIFS(全コメントデータ!C:C,テーブル2[[#This Row],[ポケモン]],全コメントデータ!D:D,"自己レスの後")</f>
        <v>2</v>
      </c>
      <c r="E29" s="6" t="s">
        <v>480</v>
      </c>
      <c r="F29" s="6" t="s">
        <v>514</v>
      </c>
      <c r="G29" s="6" t="s">
        <v>558</v>
      </c>
      <c r="H29" s="6">
        <v>0</v>
      </c>
      <c r="J29" s="6" t="s">
        <v>584</v>
      </c>
      <c r="K29" s="6" t="str">
        <f>IF(テーブル2[[#This Row],[言われた回数]]&gt;2,"多数派","少数派")</f>
        <v>多数派</v>
      </c>
      <c r="Q29" s="6">
        <f>COUNTIFS(全コメントデータ!C:C,テーブル2[[#This Row],[ポケモン]],全コメントデータ!G:G,"&lt;&gt;"&amp;"")</f>
        <v>1</v>
      </c>
    </row>
    <row r="30" spans="1:17">
      <c r="A30" s="6" t="s">
        <v>271</v>
      </c>
      <c r="B30" s="6">
        <f>COUNTIFS(全コメントデータ!C:C,テーブル2[[#This Row],[ポケモン]],全コメントデータ!D:D,"&lt;&gt;"&amp;"自己レス")</f>
        <v>4</v>
      </c>
      <c r="C30" s="7">
        <f>COUNTIFS(全コメントデータ!C:C,テーブル2[[#This Row],[ポケモン]],全コメントデータ!D:D,"自己レスの前")</f>
        <v>1</v>
      </c>
      <c r="D30" s="7">
        <f>COUNTIFS(全コメントデータ!C:C,テーブル2[[#This Row],[ポケモン]],全コメントデータ!D:D,"自己レスの後")</f>
        <v>3</v>
      </c>
      <c r="E30" s="6" t="s">
        <v>540</v>
      </c>
      <c r="F30" s="6" t="s">
        <v>513</v>
      </c>
      <c r="G30" s="6" t="s">
        <v>556</v>
      </c>
      <c r="H30" s="6">
        <v>0</v>
      </c>
      <c r="J30" s="6" t="s">
        <v>584</v>
      </c>
      <c r="K30" s="6" t="str">
        <f>IF(テーブル2[[#This Row],[言われた回数]]&gt;2,"多数派","少数派")</f>
        <v>多数派</v>
      </c>
      <c r="Q30" s="6">
        <f>COUNTIFS(全コメントデータ!C:C,テーブル2[[#This Row],[ポケモン]],全コメントデータ!G:G,"&lt;&gt;"&amp;"")</f>
        <v>1</v>
      </c>
    </row>
    <row r="31" spans="1:17">
      <c r="A31" s="6" t="s">
        <v>239</v>
      </c>
      <c r="B31" s="6">
        <f>COUNTIFS(全コメントデータ!C:C,テーブル2[[#This Row],[ポケモン]],全コメントデータ!D:D,"&lt;&gt;"&amp;"自己レス")</f>
        <v>4</v>
      </c>
      <c r="C31" s="7">
        <f>COUNTIFS(全コメントデータ!C:C,テーブル2[[#This Row],[ポケモン]],全コメントデータ!D:D,"自己レスの前")</f>
        <v>1</v>
      </c>
      <c r="D31" s="7">
        <f>COUNTIFS(全コメントデータ!C:C,テーブル2[[#This Row],[ポケモン]],全コメントデータ!D:D,"自己レスの後")</f>
        <v>3</v>
      </c>
      <c r="E31" s="6" t="s">
        <v>480</v>
      </c>
      <c r="F31" s="6" t="s">
        <v>852</v>
      </c>
      <c r="G31" s="6" t="s">
        <v>562</v>
      </c>
      <c r="H31" s="6">
        <v>0</v>
      </c>
      <c r="J31" s="6" t="s">
        <v>584</v>
      </c>
      <c r="K31" s="6" t="str">
        <f>IF(テーブル2[[#This Row],[言われた回数]]&gt;2,"多数派","少数派")</f>
        <v>多数派</v>
      </c>
      <c r="Q31" s="6">
        <f>COUNTIFS(全コメントデータ!C:C,テーブル2[[#This Row],[ポケモン]],全コメントデータ!G:G,"&lt;&gt;"&amp;"")</f>
        <v>1</v>
      </c>
    </row>
    <row r="32" spans="1:17">
      <c r="A32" s="6" t="s">
        <v>33</v>
      </c>
      <c r="B32" s="6">
        <f>COUNTIFS(全コメントデータ!C:C,テーブル2[[#This Row],[ポケモン]],全コメントデータ!D:D,"&lt;&gt;"&amp;"自己レス")</f>
        <v>4</v>
      </c>
      <c r="C32" s="7">
        <f>COUNTIFS(全コメントデータ!C:C,テーブル2[[#This Row],[ポケモン]],全コメントデータ!D:D,"自己レスの前")</f>
        <v>1</v>
      </c>
      <c r="D32" s="7">
        <f>COUNTIFS(全コメントデータ!C:C,テーブル2[[#This Row],[ポケモン]],全コメントデータ!D:D,"自己レスの後")</f>
        <v>3</v>
      </c>
      <c r="E32" s="6" t="s">
        <v>497</v>
      </c>
      <c r="F32" s="6" t="s">
        <v>853</v>
      </c>
      <c r="G32" s="6" t="s">
        <v>559</v>
      </c>
      <c r="H32" s="6">
        <v>0</v>
      </c>
      <c r="K32" s="6" t="str">
        <f>IF(テーブル2[[#This Row],[言われた回数]]&gt;2,"多数派","少数派")</f>
        <v>多数派</v>
      </c>
      <c r="Q32" s="6">
        <f>COUNTIFS(全コメントデータ!C:C,テーブル2[[#This Row],[ポケモン]],全コメントデータ!G:G,"&lt;&gt;"&amp;"")</f>
        <v>1</v>
      </c>
    </row>
    <row r="33" spans="1:17">
      <c r="A33" s="6" t="s">
        <v>92</v>
      </c>
      <c r="B33" s="6">
        <f>COUNTIFS(全コメントデータ!C:C,テーブル2[[#This Row],[ポケモン]],全コメントデータ!D:D,"&lt;&gt;"&amp;"自己レス")</f>
        <v>2</v>
      </c>
      <c r="C33" s="7">
        <f>COUNTIFS(全コメントデータ!C:C,テーブル2[[#This Row],[ポケモン]],全コメントデータ!D:D,"自己レスの前")</f>
        <v>2</v>
      </c>
      <c r="D33" s="7">
        <f>COUNTIFS(全コメントデータ!C:C,テーブル2[[#This Row],[ポケモン]],全コメントデータ!D:D,"自己レスの後")</f>
        <v>0</v>
      </c>
      <c r="E33" s="6" t="s">
        <v>519</v>
      </c>
      <c r="F33" s="6" t="s">
        <v>513</v>
      </c>
      <c r="G33" s="6" t="s">
        <v>556</v>
      </c>
      <c r="H33" s="6">
        <v>0</v>
      </c>
      <c r="K33" s="6" t="str">
        <f>IF(テーブル2[[#This Row],[言われた回数]]&gt;2,"多数派","少数派")</f>
        <v>少数派</v>
      </c>
      <c r="Q33" s="6">
        <f>COUNTIFS(全コメントデータ!C:C,テーブル2[[#This Row],[ポケモン]],全コメントデータ!G:G,"&lt;&gt;"&amp;"")</f>
        <v>1</v>
      </c>
    </row>
    <row r="34" spans="1:17">
      <c r="A34" s="6" t="s">
        <v>95</v>
      </c>
      <c r="B34" s="6">
        <f>COUNTIFS(全コメントデータ!C:C,テーブル2[[#This Row],[ポケモン]],全コメントデータ!D:D,"&lt;&gt;"&amp;"自己レス")</f>
        <v>2</v>
      </c>
      <c r="C34" s="7">
        <f>COUNTIFS(全コメントデータ!C:C,テーブル2[[#This Row],[ポケモン]],全コメントデータ!D:D,"自己レスの前")</f>
        <v>2</v>
      </c>
      <c r="D34" s="7">
        <f>COUNTIFS(全コメントデータ!C:C,テーブル2[[#This Row],[ポケモン]],全コメントデータ!D:D,"自己レスの後")</f>
        <v>0</v>
      </c>
      <c r="E34" s="6" t="s">
        <v>540</v>
      </c>
      <c r="F34" s="6" t="s">
        <v>513</v>
      </c>
      <c r="G34" s="6" t="s">
        <v>556</v>
      </c>
      <c r="H34" s="6" t="s">
        <v>553</v>
      </c>
      <c r="K34" s="6" t="str">
        <f>IF(テーブル2[[#This Row],[言われた回数]]&gt;2,"多数派","少数派")</f>
        <v>少数派</v>
      </c>
      <c r="Q34" s="6">
        <f>COUNTIFS(全コメントデータ!C:C,テーブル2[[#This Row],[ポケモン]],全コメントデータ!G:G,"&lt;&gt;"&amp;"")</f>
        <v>1</v>
      </c>
    </row>
    <row r="35" spans="1:17">
      <c r="A35" s="6" t="s">
        <v>18</v>
      </c>
      <c r="B35" s="6">
        <f>COUNTIFS(全コメントデータ!C:C,テーブル2[[#This Row],[ポケモン]],全コメントデータ!D:D,"&lt;&gt;"&amp;"自己レス")</f>
        <v>2</v>
      </c>
      <c r="C35" s="7">
        <f>COUNTIFS(全コメントデータ!C:C,テーブル2[[#This Row],[ポケモン]],全コメントデータ!D:D,"自己レスの前")</f>
        <v>2</v>
      </c>
      <c r="D35" s="7">
        <f>COUNTIFS(全コメントデータ!C:C,テーブル2[[#This Row],[ポケモン]],全コメントデータ!D:D,"自己レスの後")</f>
        <v>0</v>
      </c>
      <c r="E35" s="6" t="s">
        <v>519</v>
      </c>
      <c r="F35" s="6" t="s">
        <v>513</v>
      </c>
      <c r="G35" s="6" t="s">
        <v>562</v>
      </c>
      <c r="H35" s="6">
        <v>0</v>
      </c>
      <c r="I35" s="6" t="s">
        <v>479</v>
      </c>
      <c r="K35" s="6" t="str">
        <f>IF(テーブル2[[#This Row],[言われた回数]]&gt;2,"多数派","少数派")</f>
        <v>少数派</v>
      </c>
      <c r="L35" s="6" t="s">
        <v>477</v>
      </c>
      <c r="M35" s="6" t="s">
        <v>478</v>
      </c>
      <c r="N35" s="6" t="s">
        <v>478</v>
      </c>
      <c r="P35" s="6" t="s">
        <v>478</v>
      </c>
      <c r="Q35" s="6">
        <f>COUNTIFS(全コメントデータ!C:C,テーブル2[[#This Row],[ポケモン]],全コメントデータ!G:G,"&lt;&gt;"&amp;"")</f>
        <v>1</v>
      </c>
    </row>
    <row r="36" spans="1:17">
      <c r="A36" s="6" t="s">
        <v>28</v>
      </c>
      <c r="B36" s="6">
        <f>COUNTIFS(全コメントデータ!C:C,テーブル2[[#This Row],[ポケモン]],全コメントデータ!D:D,"&lt;&gt;"&amp;"自己レス")</f>
        <v>2</v>
      </c>
      <c r="C36" s="7">
        <f>COUNTIFS(全コメントデータ!C:C,テーブル2[[#This Row],[ポケモン]],全コメントデータ!D:D,"自己レスの前")</f>
        <v>2</v>
      </c>
      <c r="D36" s="7">
        <f>COUNTIFS(全コメントデータ!C:C,テーブル2[[#This Row],[ポケモン]],全コメントデータ!D:D,"自己レスの後")</f>
        <v>0</v>
      </c>
      <c r="E36" s="6" t="s">
        <v>516</v>
      </c>
      <c r="F36" s="6" t="s">
        <v>513</v>
      </c>
      <c r="G36" s="6" t="s">
        <v>552</v>
      </c>
      <c r="H36" s="6" t="s">
        <v>553</v>
      </c>
      <c r="J36" s="6" t="s">
        <v>804</v>
      </c>
      <c r="K36" s="6" t="str">
        <f>IF(テーブル2[[#This Row],[言われた回数]]&gt;2,"多数派","少数派")</f>
        <v>少数派</v>
      </c>
      <c r="Q36" s="6">
        <f>COUNTIFS(全コメントデータ!C:C,テーブル2[[#This Row],[ポケモン]],全コメントデータ!G:G,"&lt;&gt;"&amp;"")</f>
        <v>1</v>
      </c>
    </row>
    <row r="37" spans="1:17">
      <c r="A37" s="6" t="s">
        <v>162</v>
      </c>
      <c r="B37" s="6">
        <f>COUNTIFS(全コメントデータ!C:C,テーブル2[[#This Row],[ポケモン]],全コメントデータ!D:D,"&lt;&gt;"&amp;"自己レス")</f>
        <v>2</v>
      </c>
      <c r="C37" s="7">
        <f>COUNTIFS(全コメントデータ!C:C,テーブル2[[#This Row],[ポケモン]],全コメントデータ!D:D,"自己レスの前")</f>
        <v>2</v>
      </c>
      <c r="D37" s="7">
        <f>COUNTIFS(全コメントデータ!C:C,テーブル2[[#This Row],[ポケモン]],全コメントデータ!D:D,"自己レスの後")</f>
        <v>0</v>
      </c>
      <c r="E37" s="6" t="s">
        <v>517</v>
      </c>
      <c r="F37" s="6" t="s">
        <v>513</v>
      </c>
      <c r="G37" s="6" t="s">
        <v>564</v>
      </c>
      <c r="H37" s="6" t="s">
        <v>559</v>
      </c>
      <c r="J37" s="6" t="s">
        <v>805</v>
      </c>
      <c r="K37" s="6" t="str">
        <f>IF(テーブル2[[#This Row],[言われた回数]]&gt;2,"多数派","少数派")</f>
        <v>少数派</v>
      </c>
      <c r="Q37" s="6">
        <f>COUNTIFS(全コメントデータ!C:C,テーブル2[[#This Row],[ポケモン]],全コメントデータ!G:G,"&lt;&gt;"&amp;"")</f>
        <v>1</v>
      </c>
    </row>
    <row r="38" spans="1:17">
      <c r="A38" s="6" t="s">
        <v>193</v>
      </c>
      <c r="B38" s="6">
        <f>COUNTIFS(全コメントデータ!C:C,テーブル2[[#This Row],[ポケモン]],全コメントデータ!D:D,"&lt;&gt;"&amp;"自己レス")</f>
        <v>2</v>
      </c>
      <c r="C38" s="7">
        <f>COUNTIFS(全コメントデータ!C:C,テーブル2[[#This Row],[ポケモン]],全コメントデータ!D:D,"自己レスの前")</f>
        <v>2</v>
      </c>
      <c r="D38" s="7">
        <f>COUNTIFS(全コメントデータ!C:C,テーブル2[[#This Row],[ポケモン]],全コメントデータ!D:D,"自己レスの後")</f>
        <v>0</v>
      </c>
      <c r="E38" s="6" t="s">
        <v>517</v>
      </c>
      <c r="F38" s="6" t="s">
        <v>513</v>
      </c>
      <c r="G38" s="6" t="s">
        <v>554</v>
      </c>
      <c r="H38" s="6" t="s">
        <v>553</v>
      </c>
      <c r="J38" s="6" t="s">
        <v>793</v>
      </c>
      <c r="K38" s="6" t="str">
        <f>IF(テーブル2[[#This Row],[言われた回数]]&gt;2,"多数派","少数派")</f>
        <v>少数派</v>
      </c>
      <c r="Q38" s="6">
        <f>COUNTIFS(全コメントデータ!C:C,テーブル2[[#This Row],[ポケモン]],全コメントデータ!G:G,"&lt;&gt;"&amp;"")</f>
        <v>1</v>
      </c>
    </row>
    <row r="39" spans="1:17">
      <c r="A39" s="6" t="s">
        <v>233</v>
      </c>
      <c r="B39" s="6">
        <f>COUNTIFS(全コメントデータ!C:C,テーブル2[[#This Row],[ポケモン]],全コメントデータ!D:D,"&lt;&gt;"&amp;"自己レス")</f>
        <v>2</v>
      </c>
      <c r="C39" s="7">
        <f>COUNTIFS(全コメントデータ!C:C,テーブル2[[#This Row],[ポケモン]],全コメントデータ!D:D,"自己レスの前")</f>
        <v>2</v>
      </c>
      <c r="D39" s="7">
        <f>COUNTIFS(全コメントデータ!C:C,テーブル2[[#This Row],[ポケモン]],全コメントデータ!D:D,"自己レスの後")</f>
        <v>0</v>
      </c>
      <c r="E39" s="6" t="s">
        <v>517</v>
      </c>
      <c r="F39" s="6" t="s">
        <v>513</v>
      </c>
      <c r="G39" s="6" t="s">
        <v>570</v>
      </c>
      <c r="H39" s="6" t="s">
        <v>560</v>
      </c>
      <c r="J39" s="6" t="s">
        <v>807</v>
      </c>
      <c r="K39" s="6" t="str">
        <f>IF(テーブル2[[#This Row],[言われた回数]]&gt;2,"多数派","少数派")</f>
        <v>少数派</v>
      </c>
      <c r="Q39" s="6">
        <f>COUNTIFS(全コメントデータ!C:C,テーブル2[[#This Row],[ポケモン]],全コメントデータ!G:G,"&lt;&gt;"&amp;"")</f>
        <v>1</v>
      </c>
    </row>
    <row r="40" spans="1:17">
      <c r="A40" s="6" t="s">
        <v>250</v>
      </c>
      <c r="B40" s="6">
        <f>COUNTIFS(全コメントデータ!C:C,テーブル2[[#This Row],[ポケモン]],全コメントデータ!D:D,"&lt;&gt;"&amp;"自己レス")</f>
        <v>2</v>
      </c>
      <c r="C40" s="7">
        <f>COUNTIFS(全コメントデータ!C:C,テーブル2[[#This Row],[ポケモン]],全コメントデータ!D:D,"自己レスの前")</f>
        <v>2</v>
      </c>
      <c r="D40" s="7">
        <f>COUNTIFS(全コメントデータ!C:C,テーブル2[[#This Row],[ポケモン]],全コメントデータ!D:D,"自己レスの後")</f>
        <v>0</v>
      </c>
      <c r="E40" s="6" t="s">
        <v>480</v>
      </c>
      <c r="F40" s="6" t="s">
        <v>514</v>
      </c>
      <c r="G40" s="6" t="s">
        <v>550</v>
      </c>
      <c r="H40" s="6">
        <v>0</v>
      </c>
      <c r="K40" s="6" t="str">
        <f>IF(テーブル2[[#This Row],[言われた回数]]&gt;2,"多数派","少数派")</f>
        <v>少数派</v>
      </c>
      <c r="Q40" s="6">
        <f>COUNTIFS(全コメントデータ!C:C,テーブル2[[#This Row],[ポケモン]],全コメントデータ!G:G,"&lt;&gt;"&amp;"")</f>
        <v>1</v>
      </c>
    </row>
    <row r="41" spans="1:17">
      <c r="A41" s="6" t="s">
        <v>197</v>
      </c>
      <c r="B41" s="6">
        <f>COUNTIFS(全コメントデータ!C:C,テーブル2[[#This Row],[ポケモン]],全コメントデータ!D:D,"&lt;&gt;"&amp;"自己レス")</f>
        <v>2</v>
      </c>
      <c r="C41" s="7">
        <f>COUNTIFS(全コメントデータ!C:C,テーブル2[[#This Row],[ポケモン]],全コメントデータ!D:D,"自己レスの前")</f>
        <v>1</v>
      </c>
      <c r="D41" s="7">
        <f>COUNTIFS(全コメントデータ!C:C,テーブル2[[#This Row],[ポケモン]],全コメントデータ!D:D,"自己レスの後")</f>
        <v>1</v>
      </c>
      <c r="E41" s="6" t="s">
        <v>517</v>
      </c>
      <c r="F41" s="6" t="s">
        <v>513</v>
      </c>
      <c r="G41" s="6" t="s">
        <v>556</v>
      </c>
      <c r="H41" s="6">
        <v>0</v>
      </c>
      <c r="K41" s="6" t="str">
        <f>IF(テーブル2[[#This Row],[言われた回数]]&gt;2,"多数派","少数派")</f>
        <v>少数派</v>
      </c>
      <c r="Q41" s="6">
        <f>COUNTIFS(全コメントデータ!C:C,テーブル2[[#This Row],[ポケモン]],全コメントデータ!G:G,"&lt;&gt;"&amp;"")</f>
        <v>1</v>
      </c>
    </row>
    <row r="42" spans="1:17">
      <c r="A42" s="6" t="s">
        <v>74</v>
      </c>
      <c r="B42" s="6">
        <f>COUNTIFS(全コメントデータ!C:C,テーブル2[[#This Row],[ポケモン]],全コメントデータ!D:D,"&lt;&gt;"&amp;"自己レス")</f>
        <v>2</v>
      </c>
      <c r="C42" s="7">
        <f>COUNTIFS(全コメントデータ!C:C,テーブル2[[#This Row],[ポケモン]],全コメントデータ!D:D,"自己レスの前")</f>
        <v>1</v>
      </c>
      <c r="D42" s="7">
        <f>COUNTIFS(全コメントデータ!C:C,テーブル2[[#This Row],[ポケモン]],全コメントデータ!D:D,"自己レスの後")</f>
        <v>1</v>
      </c>
      <c r="E42" s="6" t="s">
        <v>516</v>
      </c>
      <c r="F42" s="6" t="s">
        <v>853</v>
      </c>
      <c r="G42" s="6" t="s">
        <v>554</v>
      </c>
      <c r="H42" s="6" t="s">
        <v>564</v>
      </c>
      <c r="K42" s="6" t="str">
        <f>IF(テーブル2[[#This Row],[言われた回数]]&gt;2,"多数派","少数派")</f>
        <v>少数派</v>
      </c>
      <c r="Q42" s="6">
        <f>COUNTIFS(全コメントデータ!C:C,テーブル2[[#This Row],[ポケモン]],全コメントデータ!G:G,"&lt;&gt;"&amp;"")</f>
        <v>1</v>
      </c>
    </row>
    <row r="43" spans="1:17">
      <c r="A43" s="6" t="s">
        <v>88</v>
      </c>
      <c r="B43" s="6">
        <f>COUNTIFS(全コメントデータ!C:C,テーブル2[[#This Row],[ポケモン]],全コメントデータ!D:D,"&lt;&gt;"&amp;"自己レス")</f>
        <v>2</v>
      </c>
      <c r="C43" s="7">
        <f>COUNTIFS(全コメントデータ!C:C,テーブル2[[#This Row],[ポケモン]],全コメントデータ!D:D,"自己レスの前")</f>
        <v>1</v>
      </c>
      <c r="D43" s="7">
        <f>COUNTIFS(全コメントデータ!C:C,テーブル2[[#This Row],[ポケモン]],全コメントデータ!D:D,"自己レスの後")</f>
        <v>1</v>
      </c>
      <c r="E43" s="6" t="s">
        <v>549</v>
      </c>
      <c r="F43" s="6" t="s">
        <v>853</v>
      </c>
      <c r="G43" s="6" t="s">
        <v>554</v>
      </c>
      <c r="H43" s="6">
        <v>0</v>
      </c>
      <c r="K43" s="6" t="str">
        <f>IF(テーブル2[[#This Row],[言われた回数]]&gt;2,"多数派","少数派")</f>
        <v>少数派</v>
      </c>
      <c r="Q43" s="6">
        <f>COUNTIFS(全コメントデータ!C:C,テーブル2[[#This Row],[ポケモン]],全コメントデータ!G:G,"&lt;&gt;"&amp;"")</f>
        <v>1</v>
      </c>
    </row>
    <row r="44" spans="1:17">
      <c r="A44" s="6" t="s">
        <v>104</v>
      </c>
      <c r="B44" s="6">
        <f>COUNTIFS(全コメントデータ!C:C,テーブル2[[#This Row],[ポケモン]],全コメントデータ!D:D,"&lt;&gt;"&amp;"自己レス")</f>
        <v>2</v>
      </c>
      <c r="C44" s="7">
        <f>COUNTIFS(全コメントデータ!C:C,テーブル2[[#This Row],[ポケモン]],全コメントデータ!D:D,"自己レスの前")</f>
        <v>1</v>
      </c>
      <c r="D44" s="7">
        <f>COUNTIFS(全コメントデータ!C:C,テーブル2[[#This Row],[ポケモン]],全コメントデータ!D:D,"自己レスの後")</f>
        <v>1</v>
      </c>
      <c r="E44" s="6" t="s">
        <v>480</v>
      </c>
      <c r="F44" s="6" t="s">
        <v>852</v>
      </c>
      <c r="G44" s="6" t="s">
        <v>558</v>
      </c>
      <c r="H44" s="6">
        <v>0</v>
      </c>
      <c r="K44" s="6" t="str">
        <f>IF(テーブル2[[#This Row],[言われた回数]]&gt;2,"多数派","少数派")</f>
        <v>少数派</v>
      </c>
      <c r="Q44" s="6">
        <f>COUNTIFS(全コメントデータ!C:C,テーブル2[[#This Row],[ポケモン]],全コメントデータ!G:G,"&lt;&gt;"&amp;"")</f>
        <v>1</v>
      </c>
    </row>
    <row r="45" spans="1:17">
      <c r="A45" s="6" t="s">
        <v>170</v>
      </c>
      <c r="B45" s="6">
        <f>COUNTIFS(全コメントデータ!C:C,テーブル2[[#This Row],[ポケモン]],全コメントデータ!D:D,"&lt;&gt;"&amp;"自己レス")</f>
        <v>2</v>
      </c>
      <c r="C45" s="7">
        <f>COUNTIFS(全コメントデータ!C:C,テーブル2[[#This Row],[ポケモン]],全コメントデータ!D:D,"自己レスの前")</f>
        <v>1</v>
      </c>
      <c r="D45" s="7">
        <f>COUNTIFS(全コメントデータ!C:C,テーブル2[[#This Row],[ポケモン]],全コメントデータ!D:D,"自己レスの後")</f>
        <v>1</v>
      </c>
      <c r="E45" s="6" t="s">
        <v>540</v>
      </c>
      <c r="F45" s="6" t="s">
        <v>852</v>
      </c>
      <c r="G45" s="6" t="s">
        <v>555</v>
      </c>
      <c r="H45" s="6">
        <v>0</v>
      </c>
      <c r="K45" s="6" t="str">
        <f>IF(テーブル2[[#This Row],[言われた回数]]&gt;2,"多数派","少数派")</f>
        <v>少数派</v>
      </c>
      <c r="Q45" s="6">
        <f>COUNTIFS(全コメントデータ!C:C,テーブル2[[#This Row],[ポケモン]],全コメントデータ!G:G,"&lt;&gt;"&amp;"")</f>
        <v>1</v>
      </c>
    </row>
    <row r="46" spans="1:17">
      <c r="A46" s="6" t="s">
        <v>247</v>
      </c>
      <c r="B46" s="6">
        <f>COUNTIFS(全コメントデータ!C:C,テーブル2[[#This Row],[ポケモン]],全コメントデータ!D:D,"&lt;&gt;"&amp;"自己レス")</f>
        <v>2</v>
      </c>
      <c r="C46" s="7">
        <f>COUNTIFS(全コメントデータ!C:C,テーブル2[[#This Row],[ポケモン]],全コメントデータ!D:D,"自己レスの前")</f>
        <v>1</v>
      </c>
      <c r="D46" s="7">
        <f>COUNTIFS(全コメントデータ!C:C,テーブル2[[#This Row],[ポケモン]],全コメントデータ!D:D,"自己レスの後")</f>
        <v>1</v>
      </c>
      <c r="E46" s="6" t="s">
        <v>480</v>
      </c>
      <c r="F46" s="6" t="s">
        <v>852</v>
      </c>
      <c r="G46" s="6" t="s">
        <v>560</v>
      </c>
      <c r="H46" s="6" t="s">
        <v>564</v>
      </c>
      <c r="J46" s="6" t="s">
        <v>808</v>
      </c>
      <c r="K46" s="6" t="str">
        <f>IF(テーブル2[[#This Row],[言われた回数]]&gt;2,"多数派","少数派")</f>
        <v>少数派</v>
      </c>
      <c r="Q46" s="6">
        <f>COUNTIFS(全コメントデータ!C:C,テーブル2[[#This Row],[ポケモン]],全コメントデータ!G:G,"&lt;&gt;"&amp;"")</f>
        <v>1</v>
      </c>
    </row>
    <row r="47" spans="1:17">
      <c r="A47" s="6" t="s">
        <v>312</v>
      </c>
      <c r="B47" s="6">
        <f>COUNTIFS(全コメントデータ!C:C,テーブル2[[#This Row],[ポケモン]],全コメントデータ!D:D,"&lt;&gt;"&amp;"自己レス")</f>
        <v>2</v>
      </c>
      <c r="C47" s="7">
        <f>COUNTIFS(全コメントデータ!C:C,テーブル2[[#This Row],[ポケモン]],全コメントデータ!D:D,"自己レスの前")</f>
        <v>1</v>
      </c>
      <c r="D47" s="7">
        <f>COUNTIFS(全コメントデータ!C:C,テーブル2[[#This Row],[ポケモン]],全コメントデータ!D:D,"自己レスの後")</f>
        <v>1</v>
      </c>
      <c r="E47" s="6" t="s">
        <v>480</v>
      </c>
      <c r="F47" s="6" t="s">
        <v>852</v>
      </c>
      <c r="G47" s="6" t="s">
        <v>550</v>
      </c>
      <c r="H47" s="6">
        <v>0</v>
      </c>
      <c r="K47" s="6" t="str">
        <f>IF(テーブル2[[#This Row],[言われた回数]]&gt;2,"多数派","少数派")</f>
        <v>少数派</v>
      </c>
      <c r="Q47" s="6">
        <f>COUNTIFS(全コメントデータ!C:C,テーブル2[[#This Row],[ポケモン]],全コメントデータ!G:G,"&lt;&gt;"&amp;"")</f>
        <v>1</v>
      </c>
    </row>
    <row r="48" spans="1:17">
      <c r="A48" s="6" t="s">
        <v>343</v>
      </c>
      <c r="B48" s="6">
        <f>COUNTIFS(全コメントデータ!C:C,テーブル2[[#This Row],[ポケモン]],全コメントデータ!D:D,"&lt;&gt;"&amp;"自己レス")</f>
        <v>2</v>
      </c>
      <c r="C48" s="7">
        <f>COUNTIFS(全コメントデータ!C:C,テーブル2[[#This Row],[ポケモン]],全コメントデータ!D:D,"自己レスの前")</f>
        <v>1</v>
      </c>
      <c r="D48" s="7">
        <f>COUNTIFS(全コメントデータ!C:C,テーブル2[[#This Row],[ポケモン]],全コメントデータ!D:D,"自己レスの後")</f>
        <v>1</v>
      </c>
      <c r="E48" s="6" t="s">
        <v>505</v>
      </c>
      <c r="F48" s="6" t="s">
        <v>853</v>
      </c>
      <c r="G48" s="6" t="s">
        <v>256</v>
      </c>
      <c r="H48" s="6">
        <v>0</v>
      </c>
      <c r="K48" s="6" t="str">
        <f>IF(テーブル2[[#This Row],[言われた回数]]&gt;2,"多数派","少数派")</f>
        <v>少数派</v>
      </c>
      <c r="Q48" s="6">
        <f>COUNTIFS(全コメントデータ!C:C,テーブル2[[#This Row],[ポケモン]],全コメントデータ!G:G,"&lt;&gt;"&amp;"")</f>
        <v>1</v>
      </c>
    </row>
    <row r="49" spans="1:17">
      <c r="A49" s="6" t="s">
        <v>347</v>
      </c>
      <c r="B49" s="6">
        <f>COUNTIFS(全コメントデータ!C:C,テーブル2[[#This Row],[ポケモン]],全コメントデータ!D:D,"&lt;&gt;"&amp;"自己レス")</f>
        <v>2</v>
      </c>
      <c r="C49" s="7">
        <f>COUNTIFS(全コメントデータ!C:C,テーブル2[[#This Row],[ポケモン]],全コメントデータ!D:D,"自己レスの前")</f>
        <v>1</v>
      </c>
      <c r="D49" s="7">
        <f>COUNTIFS(全コメントデータ!C:C,テーブル2[[#This Row],[ポケモン]],全コメントデータ!D:D,"自己レスの後")</f>
        <v>1</v>
      </c>
      <c r="E49" s="6" t="s">
        <v>517</v>
      </c>
      <c r="F49" s="6" t="s">
        <v>853</v>
      </c>
      <c r="G49" s="6" t="s">
        <v>561</v>
      </c>
      <c r="H49" s="6">
        <v>0</v>
      </c>
      <c r="K49" s="6" t="str">
        <f>IF(テーブル2[[#This Row],[言われた回数]]&gt;2,"多数派","少数派")</f>
        <v>少数派</v>
      </c>
      <c r="Q49" s="6">
        <f>COUNTIFS(全コメントデータ!C:C,テーブル2[[#This Row],[ポケモン]],全コメントデータ!G:G,"&lt;&gt;"&amp;"")</f>
        <v>1</v>
      </c>
    </row>
    <row r="50" spans="1:17">
      <c r="A50" s="6" t="s">
        <v>453</v>
      </c>
      <c r="B50" s="6">
        <f>COUNTIFS(全コメントデータ!C:C,テーブル2[[#This Row],[ポケモン]],全コメントデータ!D:D,"&lt;&gt;"&amp;"自己レス")</f>
        <v>2</v>
      </c>
      <c r="C50" s="7">
        <f>COUNTIFS(全コメントデータ!C:C,テーブル2[[#This Row],[ポケモン]],全コメントデータ!D:D,"自己レスの前")</f>
        <v>0</v>
      </c>
      <c r="D50" s="7">
        <f>COUNTIFS(全コメントデータ!C:C,テーブル2[[#This Row],[ポケモン]],全コメントデータ!D:D,"自己レスの後")</f>
        <v>2</v>
      </c>
      <c r="E50" s="6" t="s">
        <v>518</v>
      </c>
      <c r="F50" s="6" t="s">
        <v>853</v>
      </c>
      <c r="G50" s="6" t="s">
        <v>559</v>
      </c>
      <c r="H50" s="6" t="s">
        <v>558</v>
      </c>
      <c r="K50" s="6" t="str">
        <f>IF(テーブル2[[#This Row],[言われた回数]]&gt;2,"多数派","少数派")</f>
        <v>少数派</v>
      </c>
      <c r="Q50" s="6">
        <f>COUNTIFS(全コメントデータ!C:C,テーブル2[[#This Row],[ポケモン]],全コメントデータ!G:G,"&lt;&gt;"&amp;"")</f>
        <v>1</v>
      </c>
    </row>
    <row r="51" spans="1:17">
      <c r="A51" s="6" t="s">
        <v>764</v>
      </c>
      <c r="B51" s="6">
        <f>COUNTIFS(全コメントデータ!C:C,テーブル2[[#This Row],[ポケモン]],全コメントデータ!D:D,"&lt;&gt;"&amp;"自己レス")</f>
        <v>2</v>
      </c>
      <c r="C51" s="7">
        <f>COUNTIFS(全コメントデータ!C:C,テーブル2[[#This Row],[ポケモン]],全コメントデータ!D:D,"自己レスの前")</f>
        <v>0</v>
      </c>
      <c r="D51" s="7">
        <f>COUNTIFS(全コメントデータ!C:C,テーブル2[[#This Row],[ポケモン]],全コメントデータ!D:D,"自己レスの後")</f>
        <v>2</v>
      </c>
      <c r="E51" s="6" t="s">
        <v>480</v>
      </c>
      <c r="F51" s="6" t="s">
        <v>852</v>
      </c>
      <c r="G51" s="6" t="s">
        <v>571</v>
      </c>
      <c r="H51" s="6" t="s">
        <v>573</v>
      </c>
      <c r="K51" s="6" t="str">
        <f>IF(テーブル2[[#This Row],[言われた回数]]&gt;2,"多数派","少数派")</f>
        <v>少数派</v>
      </c>
      <c r="Q51" s="6">
        <f>COUNTIFS(全コメントデータ!C:C,テーブル2[[#This Row],[ポケモン]],全コメントデータ!G:G,"&lt;&gt;"&amp;"")</f>
        <v>1</v>
      </c>
    </row>
    <row r="52" spans="1:17">
      <c r="A52" s="6" t="s">
        <v>135</v>
      </c>
      <c r="B52" s="6">
        <f>COUNTIFS(全コメントデータ!C:C,テーブル2[[#This Row],[ポケモン]],全コメントデータ!D:D,"&lt;&gt;"&amp;"自己レス")</f>
        <v>2</v>
      </c>
      <c r="C52" s="7">
        <f>COUNTIFS(全コメントデータ!C:C,テーブル2[[#This Row],[ポケモン]],全コメントデータ!D:D,"自己レスの前")</f>
        <v>1</v>
      </c>
      <c r="D52" s="7">
        <f>COUNTIFS(全コメントデータ!C:C,テーブル2[[#This Row],[ポケモン]],全コメントデータ!D:D,"自己レスの後")</f>
        <v>1</v>
      </c>
      <c r="E52" s="6" t="s">
        <v>480</v>
      </c>
      <c r="F52" s="6" t="s">
        <v>514</v>
      </c>
      <c r="G52" s="6" t="s">
        <v>556</v>
      </c>
      <c r="H52" s="6">
        <v>0</v>
      </c>
      <c r="K52" s="6" t="str">
        <f>IF(テーブル2[[#This Row],[言われた回数]]&gt;2,"多数派","少数派")</f>
        <v>少数派</v>
      </c>
      <c r="Q52" s="6">
        <f>COUNTIFS(全コメントデータ!C:C,テーブル2[[#This Row],[ポケモン]],全コメントデータ!G:G,"&lt;&gt;"&amp;"")</f>
        <v>1</v>
      </c>
    </row>
    <row r="53" spans="1:17">
      <c r="A53" s="6" t="s">
        <v>267</v>
      </c>
      <c r="B53" s="6">
        <f>COUNTIFS(全コメントデータ!C:C,テーブル2[[#This Row],[ポケモン]],全コメントデータ!D:D,"&lt;&gt;"&amp;"自己レス")</f>
        <v>2</v>
      </c>
      <c r="C53" s="7">
        <f>COUNTIFS(全コメントデータ!C:C,テーブル2[[#This Row],[ポケモン]],全コメントデータ!D:D,"自己レスの前")</f>
        <v>1</v>
      </c>
      <c r="D53" s="7">
        <f>COUNTIFS(全コメントデータ!C:C,テーブル2[[#This Row],[ポケモン]],全コメントデータ!D:D,"自己レスの後")</f>
        <v>1</v>
      </c>
      <c r="E53" s="6" t="s">
        <v>480</v>
      </c>
      <c r="F53" s="6" t="s">
        <v>852</v>
      </c>
      <c r="G53" s="6" t="s">
        <v>550</v>
      </c>
      <c r="H53" s="6">
        <v>0</v>
      </c>
      <c r="K53" s="6" t="str">
        <f>IF(テーブル2[[#This Row],[言われた回数]]&gt;2,"多数派","少数派")</f>
        <v>少数派</v>
      </c>
      <c r="Q53" s="6">
        <f>COUNTIFS(全コメントデータ!C:C,テーブル2[[#This Row],[ポケモン]],全コメントデータ!G:G,"&lt;&gt;"&amp;"")</f>
        <v>1</v>
      </c>
    </row>
    <row r="54" spans="1:17">
      <c r="A54" s="6" t="s">
        <v>389</v>
      </c>
      <c r="B54" s="6">
        <f>COUNTIFS(全コメントデータ!C:C,テーブル2[[#This Row],[ポケモン]],全コメントデータ!D:D,"&lt;&gt;"&amp;"自己レス")</f>
        <v>1</v>
      </c>
      <c r="C54" s="7">
        <f>COUNTIFS(全コメントデータ!C:C,テーブル2[[#This Row],[ポケモン]],全コメントデータ!D:D,"自己レスの前")</f>
        <v>0</v>
      </c>
      <c r="D54" s="7">
        <f>COUNTIFS(全コメントデータ!C:C,テーブル2[[#This Row],[ポケモン]],全コメントデータ!D:D,"自己レスの後")</f>
        <v>1</v>
      </c>
      <c r="E54" s="6" t="s">
        <v>480</v>
      </c>
      <c r="F54" s="6" t="s">
        <v>514</v>
      </c>
      <c r="G54" s="6" t="s">
        <v>568</v>
      </c>
      <c r="H54" s="6" t="s">
        <v>553</v>
      </c>
      <c r="K54" s="6" t="str">
        <f>IF(テーブル2[[#This Row],[言われた回数]]&gt;2,"多数派","少数派")</f>
        <v>少数派</v>
      </c>
      <c r="Q54" s="6">
        <f>COUNTIFS(全コメントデータ!C:C,テーブル2[[#This Row],[ポケモン]],全コメントデータ!G:G,"&lt;&gt;"&amp;"")</f>
        <v>1</v>
      </c>
    </row>
    <row r="55" spans="1:17">
      <c r="A55" s="6" t="s">
        <v>199</v>
      </c>
      <c r="B55" s="6">
        <f>COUNTIFS(全コメントデータ!C:C,テーブル2[[#This Row],[ポケモン]],全コメントデータ!D:D,"&lt;&gt;"&amp;"自己レス")</f>
        <v>1</v>
      </c>
      <c r="C55" s="7">
        <f>COUNTIFS(全コメントデータ!C:C,テーブル2[[#This Row],[ポケモン]],全コメントデータ!D:D,"自己レスの前")</f>
        <v>1</v>
      </c>
      <c r="D55" s="7">
        <f>COUNTIFS(全コメントデータ!C:C,テーブル2[[#This Row],[ポケモン]],全コメントデータ!D:D,"自己レスの後")</f>
        <v>0</v>
      </c>
      <c r="E55" s="6" t="s">
        <v>517</v>
      </c>
      <c r="F55" s="6" t="s">
        <v>852</v>
      </c>
      <c r="G55" s="6" t="s">
        <v>560</v>
      </c>
      <c r="H55" s="6">
        <v>0</v>
      </c>
      <c r="K55" s="6" t="str">
        <f>IF(テーブル2[[#This Row],[言われた回数]]&gt;2,"多数派","少数派")</f>
        <v>少数派</v>
      </c>
      <c r="Q55" s="6">
        <f>COUNTIFS(全コメントデータ!C:C,テーブル2[[#This Row],[ポケモン]],全コメントデータ!G:G,"&lt;&gt;"&amp;"")</f>
        <v>1</v>
      </c>
    </row>
    <row r="56" spans="1:17">
      <c r="A56" s="6" t="s">
        <v>40</v>
      </c>
      <c r="B56" s="6">
        <f>COUNTIFS(全コメントデータ!C:C,テーブル2[[#This Row],[ポケモン]],全コメントデータ!D:D,"&lt;&gt;"&amp;"自己レス")</f>
        <v>1</v>
      </c>
      <c r="C56" s="7">
        <f>COUNTIFS(全コメントデータ!C:C,テーブル2[[#This Row],[ポケモン]],全コメントデータ!D:D,"自己レスの前")</f>
        <v>1</v>
      </c>
      <c r="D56" s="7">
        <f>COUNTIFS(全コメントデータ!C:C,テーブル2[[#This Row],[ポケモン]],全コメントデータ!D:D,"自己レスの後")</f>
        <v>0</v>
      </c>
      <c r="E56" s="6" t="s">
        <v>519</v>
      </c>
      <c r="F56" s="6" t="s">
        <v>853</v>
      </c>
      <c r="G56" s="6" t="s">
        <v>556</v>
      </c>
      <c r="H56" s="6">
        <v>0</v>
      </c>
      <c r="K56" s="6" t="str">
        <f>IF(テーブル2[[#This Row],[言われた回数]]&gt;2,"多数派","少数派")</f>
        <v>少数派</v>
      </c>
      <c r="Q56" s="6">
        <f>COUNTIFS(全コメントデータ!C:C,テーブル2[[#This Row],[ポケモン]],全コメントデータ!G:G,"&lt;&gt;"&amp;"")</f>
        <v>1</v>
      </c>
    </row>
    <row r="57" spans="1:17">
      <c r="A57" s="6" t="s">
        <v>137</v>
      </c>
      <c r="B57" s="6">
        <f>COUNTIFS(全コメントデータ!C:C,テーブル2[[#This Row],[ポケモン]],全コメントデータ!D:D,"&lt;&gt;"&amp;"自己レス")</f>
        <v>1</v>
      </c>
      <c r="C57" s="7">
        <f>COUNTIFS(全コメントデータ!C:C,テーブル2[[#This Row],[ポケモン]],全コメントデータ!D:D,"自己レスの前")</f>
        <v>1</v>
      </c>
      <c r="D57" s="7">
        <f>COUNTIFS(全コメントデータ!C:C,テーブル2[[#This Row],[ポケモン]],全コメントデータ!D:D,"自己レスの後")</f>
        <v>0</v>
      </c>
      <c r="E57" s="6" t="s">
        <v>480</v>
      </c>
      <c r="F57" s="6" t="s">
        <v>852</v>
      </c>
      <c r="G57" s="6" t="s">
        <v>556</v>
      </c>
      <c r="H57" s="6">
        <v>0</v>
      </c>
      <c r="K57" s="6" t="str">
        <f>IF(テーブル2[[#This Row],[言われた回数]]&gt;2,"多数派","少数派")</f>
        <v>少数派</v>
      </c>
      <c r="Q57" s="6">
        <f>COUNTIFS(全コメントデータ!C:C,テーブル2[[#This Row],[ポケモン]],全コメントデータ!G:G,"&lt;&gt;"&amp;"")</f>
        <v>1</v>
      </c>
    </row>
    <row r="58" spans="1:17">
      <c r="A58" s="6" t="s">
        <v>139</v>
      </c>
      <c r="B58" s="6">
        <f>COUNTIFS(全コメントデータ!C:C,テーブル2[[#This Row],[ポケモン]],全コメントデータ!D:D,"&lt;&gt;"&amp;"自己レス")</f>
        <v>1</v>
      </c>
      <c r="C58" s="7">
        <f>COUNTIFS(全コメントデータ!C:C,テーブル2[[#This Row],[ポケモン]],全コメントデータ!D:D,"自己レスの前")</f>
        <v>1</v>
      </c>
      <c r="D58" s="7">
        <f>COUNTIFS(全コメントデータ!C:C,テーブル2[[#This Row],[ポケモン]],全コメントデータ!D:D,"自己レスの後")</f>
        <v>0</v>
      </c>
      <c r="E58" s="6" t="s">
        <v>480</v>
      </c>
      <c r="F58" s="6" t="s">
        <v>852</v>
      </c>
      <c r="G58" s="6" t="s">
        <v>556</v>
      </c>
      <c r="H58" s="6">
        <v>0</v>
      </c>
      <c r="K58" s="6" t="str">
        <f>IF(テーブル2[[#This Row],[言われた回数]]&gt;2,"多数派","少数派")</f>
        <v>少数派</v>
      </c>
      <c r="Q58" s="6">
        <f>COUNTIFS(全コメントデータ!C:C,テーブル2[[#This Row],[ポケモン]],全コメントデータ!G:G,"&lt;&gt;"&amp;"")</f>
        <v>1</v>
      </c>
    </row>
    <row r="59" spans="1:17">
      <c r="A59" s="6" t="s">
        <v>26</v>
      </c>
      <c r="B59" s="6">
        <f>COUNTIFS(全コメントデータ!C:C,テーブル2[[#This Row],[ポケモン]],全コメントデータ!D:D,"&lt;&gt;"&amp;"自己レス")</f>
        <v>1</v>
      </c>
      <c r="C59" s="7">
        <f>COUNTIFS(全コメントデータ!C:C,テーブル2[[#This Row],[ポケモン]],全コメントデータ!D:D,"自己レスの前")</f>
        <v>1</v>
      </c>
      <c r="D59" s="7">
        <f>COUNTIFS(全コメントデータ!C:C,テーブル2[[#This Row],[ポケモン]],全コメントデータ!D:D,"自己レスの後")</f>
        <v>0</v>
      </c>
      <c r="E59" s="6" t="s">
        <v>516</v>
      </c>
      <c r="F59" s="6" t="s">
        <v>853</v>
      </c>
      <c r="G59" s="6" t="s">
        <v>554</v>
      </c>
      <c r="H59" s="6" t="s">
        <v>570</v>
      </c>
      <c r="K59" s="6" t="str">
        <f>IF(テーブル2[[#This Row],[言われた回数]]&gt;2,"多数派","少数派")</f>
        <v>少数派</v>
      </c>
      <c r="Q59" s="6">
        <f>COUNTIFS(全コメントデータ!C:C,テーブル2[[#This Row],[ポケモン]],全コメントデータ!G:G,"&lt;&gt;"&amp;"")</f>
        <v>1</v>
      </c>
    </row>
    <row r="60" spans="1:17">
      <c r="A60" s="6" t="s">
        <v>55</v>
      </c>
      <c r="B60" s="6">
        <f>COUNTIFS(全コメントデータ!C:C,テーブル2[[#This Row],[ポケモン]],全コメントデータ!D:D,"&lt;&gt;"&amp;"自己レス")</f>
        <v>1</v>
      </c>
      <c r="C60" s="7">
        <f>COUNTIFS(全コメントデータ!C:C,テーブル2[[#This Row],[ポケモン]],全コメントデータ!D:D,"自己レスの前")</f>
        <v>1</v>
      </c>
      <c r="D60" s="7">
        <f>COUNTIFS(全コメントデータ!C:C,テーブル2[[#This Row],[ポケモン]],全コメントデータ!D:D,"自己レスの後")</f>
        <v>0</v>
      </c>
      <c r="E60" s="6" t="s">
        <v>480</v>
      </c>
      <c r="F60" s="6" t="s">
        <v>852</v>
      </c>
      <c r="G60" s="6" t="s">
        <v>558</v>
      </c>
      <c r="H60" s="6">
        <v>0</v>
      </c>
      <c r="K60" s="6" t="str">
        <f>IF(テーブル2[[#This Row],[言われた回数]]&gt;2,"多数派","少数派")</f>
        <v>少数派</v>
      </c>
      <c r="Q60" s="6">
        <f>COUNTIFS(全コメントデータ!C:C,テーブル2[[#This Row],[ポケモン]],全コメントデータ!G:G,"&lt;&gt;"&amp;"")</f>
        <v>1</v>
      </c>
    </row>
    <row r="61" spans="1:17">
      <c r="A61" s="6" t="s">
        <v>53</v>
      </c>
      <c r="B61" s="6">
        <f>COUNTIFS(全コメントデータ!C:C,テーブル2[[#This Row],[ポケモン]],全コメントデータ!D:D,"&lt;&gt;"&amp;"自己レス")</f>
        <v>1</v>
      </c>
      <c r="C61" s="7">
        <f>COUNTIFS(全コメントデータ!C:C,テーブル2[[#This Row],[ポケモン]],全コメントデータ!D:D,"自己レスの前")</f>
        <v>1</v>
      </c>
      <c r="D61" s="7">
        <f>COUNTIFS(全コメントデータ!C:C,テーブル2[[#This Row],[ポケモン]],全コメントデータ!D:D,"自己レスの後")</f>
        <v>0</v>
      </c>
      <c r="E61" s="6" t="s">
        <v>480</v>
      </c>
      <c r="F61" s="6" t="s">
        <v>852</v>
      </c>
      <c r="G61" s="6" t="s">
        <v>558</v>
      </c>
      <c r="H61" s="6">
        <v>0</v>
      </c>
      <c r="K61" s="6" t="str">
        <f>IF(テーブル2[[#This Row],[言われた回数]]&gt;2,"多数派","少数派")</f>
        <v>少数派</v>
      </c>
      <c r="Q61" s="6">
        <f>COUNTIFS(全コメントデータ!C:C,テーブル2[[#This Row],[ポケモン]],全コメントデータ!G:G,"&lt;&gt;"&amp;"")</f>
        <v>1</v>
      </c>
    </row>
    <row r="62" spans="1:17">
      <c r="A62" s="6" t="s">
        <v>66</v>
      </c>
      <c r="B62" s="6">
        <f>COUNTIFS(全コメントデータ!C:C,テーブル2[[#This Row],[ポケモン]],全コメントデータ!D:D,"&lt;&gt;"&amp;"自己レス")</f>
        <v>1</v>
      </c>
      <c r="C62" s="7">
        <f>COUNTIFS(全コメントデータ!C:C,テーブル2[[#This Row],[ポケモン]],全コメントデータ!D:D,"自己レスの前")</f>
        <v>1</v>
      </c>
      <c r="D62" s="7">
        <f>COUNTIFS(全コメントデータ!C:C,テーブル2[[#This Row],[ポケモン]],全コメントデータ!D:D,"自己レスの後")</f>
        <v>0</v>
      </c>
      <c r="E62" s="6" t="s">
        <v>549</v>
      </c>
      <c r="F62" s="6" t="s">
        <v>853</v>
      </c>
      <c r="G62" s="6" t="s">
        <v>554</v>
      </c>
      <c r="H62" s="6">
        <v>0</v>
      </c>
      <c r="K62" s="6" t="str">
        <f>IF(テーブル2[[#This Row],[言われた回数]]&gt;2,"多数派","少数派")</f>
        <v>少数派</v>
      </c>
      <c r="Q62" s="6">
        <f>COUNTIFS(全コメントデータ!C:C,テーブル2[[#This Row],[ポケモン]],全コメントデータ!G:G,"&lt;&gt;"&amp;"")</f>
        <v>1</v>
      </c>
    </row>
    <row r="63" spans="1:17">
      <c r="A63" s="6" t="s">
        <v>70</v>
      </c>
      <c r="B63" s="6">
        <f>COUNTIFS(全コメントデータ!C:C,テーブル2[[#This Row],[ポケモン]],全コメントデータ!D:D,"&lt;&gt;"&amp;"自己レス")</f>
        <v>1</v>
      </c>
      <c r="C63" s="7">
        <f>COUNTIFS(全コメントデータ!C:C,テーブル2[[#This Row],[ポケモン]],全コメントデータ!D:D,"自己レスの前")</f>
        <v>1</v>
      </c>
      <c r="D63" s="7">
        <f>COUNTIFS(全コメントデータ!C:C,テーブル2[[#This Row],[ポケモン]],全コメントデータ!D:D,"自己レスの後")</f>
        <v>0</v>
      </c>
      <c r="E63" s="6" t="s">
        <v>549</v>
      </c>
      <c r="F63" s="6" t="s">
        <v>853</v>
      </c>
      <c r="G63" s="6" t="s">
        <v>554</v>
      </c>
      <c r="H63" s="6" t="s">
        <v>551</v>
      </c>
      <c r="K63" s="6" t="str">
        <f>IF(テーブル2[[#This Row],[言われた回数]]&gt;2,"多数派","少数派")</f>
        <v>少数派</v>
      </c>
      <c r="Q63" s="6">
        <f>COUNTIFS(全コメントデータ!C:C,テーブル2[[#This Row],[ポケモン]],全コメントデータ!G:G,"&lt;&gt;"&amp;"")</f>
        <v>1</v>
      </c>
    </row>
    <row r="64" spans="1:17">
      <c r="A64" s="6" t="s">
        <v>78</v>
      </c>
      <c r="B64" s="6">
        <f>COUNTIFS(全コメントデータ!C:C,テーブル2[[#This Row],[ポケモン]],全コメントデータ!D:D,"&lt;&gt;"&amp;"自己レス")</f>
        <v>1</v>
      </c>
      <c r="C64" s="7">
        <f>COUNTIFS(全コメントデータ!C:C,テーブル2[[#This Row],[ポケモン]],全コメントデータ!D:D,"自己レスの前")</f>
        <v>1</v>
      </c>
      <c r="D64" s="7">
        <f>COUNTIFS(全コメントデータ!C:C,テーブル2[[#This Row],[ポケモン]],全コメントデータ!D:D,"自己レスの後")</f>
        <v>0</v>
      </c>
      <c r="E64" s="6" t="s">
        <v>519</v>
      </c>
      <c r="F64" s="6" t="s">
        <v>853</v>
      </c>
      <c r="G64" s="6" t="s">
        <v>558</v>
      </c>
      <c r="H64" s="6" t="s">
        <v>564</v>
      </c>
      <c r="K64" s="6" t="str">
        <f>IF(テーブル2[[#This Row],[言われた回数]]&gt;2,"多数派","少数派")</f>
        <v>少数派</v>
      </c>
      <c r="Q64" s="6">
        <f>COUNTIFS(全コメントデータ!C:C,テーブル2[[#This Row],[ポケモン]],全コメントデータ!G:G,"&lt;&gt;"&amp;"")</f>
        <v>1</v>
      </c>
    </row>
    <row r="65" spans="1:17">
      <c r="A65" s="6" t="s">
        <v>82</v>
      </c>
      <c r="B65" s="6">
        <f>COUNTIFS(全コメントデータ!C:C,テーブル2[[#This Row],[ポケモン]],全コメントデータ!D:D,"&lt;&gt;"&amp;"自己レス")</f>
        <v>1</v>
      </c>
      <c r="C65" s="7">
        <f>COUNTIFS(全コメントデータ!C:C,テーブル2[[#This Row],[ポケモン]],全コメントデータ!D:D,"自己レスの前")</f>
        <v>1</v>
      </c>
      <c r="D65" s="7">
        <f>COUNTIFS(全コメントデータ!C:C,テーブル2[[#This Row],[ポケモン]],全コメントデータ!D:D,"自己レスの後")</f>
        <v>0</v>
      </c>
      <c r="E65" s="6" t="s">
        <v>480</v>
      </c>
      <c r="F65" s="6" t="s">
        <v>852</v>
      </c>
      <c r="G65" s="6" t="s">
        <v>562</v>
      </c>
      <c r="H65" s="6">
        <v>0</v>
      </c>
      <c r="K65" s="6" t="str">
        <f>IF(テーブル2[[#This Row],[言われた回数]]&gt;2,"多数派","少数派")</f>
        <v>少数派</v>
      </c>
      <c r="Q65" s="6">
        <f>COUNTIFS(全コメントデータ!C:C,テーブル2[[#This Row],[ポケモン]],全コメントデータ!G:G,"&lt;&gt;"&amp;"")</f>
        <v>1</v>
      </c>
    </row>
    <row r="66" spans="1:17">
      <c r="A66" s="6" t="s">
        <v>102</v>
      </c>
      <c r="B66" s="6">
        <f>COUNTIFS(全コメントデータ!C:C,テーブル2[[#This Row],[ポケモン]],全コメントデータ!D:D,"&lt;&gt;"&amp;"自己レス")</f>
        <v>1</v>
      </c>
      <c r="C66" s="7">
        <f>COUNTIFS(全コメントデータ!C:C,テーブル2[[#This Row],[ポケモン]],全コメントデータ!D:D,"自己レスの前")</f>
        <v>1</v>
      </c>
      <c r="D66" s="7">
        <f>COUNTIFS(全コメントデータ!C:C,テーブル2[[#This Row],[ポケモン]],全コメントデータ!D:D,"自己レスの後")</f>
        <v>0</v>
      </c>
      <c r="E66" s="6" t="s">
        <v>549</v>
      </c>
      <c r="F66" s="6" t="s">
        <v>853</v>
      </c>
      <c r="G66" s="6" t="s">
        <v>550</v>
      </c>
      <c r="H66" s="6" t="s">
        <v>551</v>
      </c>
      <c r="K66" s="6" t="str">
        <f>IF(テーブル2[[#This Row],[言われた回数]]&gt;2,"多数派","少数派")</f>
        <v>少数派</v>
      </c>
      <c r="Q66" s="6">
        <f>COUNTIFS(全コメントデータ!C:C,テーブル2[[#This Row],[ポケモン]],全コメントデータ!G:G,"&lt;&gt;"&amp;"")</f>
        <v>1</v>
      </c>
    </row>
    <row r="67" spans="1:17">
      <c r="A67" s="6" t="s">
        <v>99</v>
      </c>
      <c r="B67" s="6">
        <f>COUNTIFS(全コメントデータ!C:C,テーブル2[[#This Row],[ポケモン]],全コメントデータ!D:D,"&lt;&gt;"&amp;"自己レス")</f>
        <v>1</v>
      </c>
      <c r="C67" s="7">
        <f>COUNTIFS(全コメントデータ!C:C,テーブル2[[#This Row],[ポケモン]],全コメントデータ!D:D,"自己レスの前")</f>
        <v>1</v>
      </c>
      <c r="D67" s="7">
        <f>COUNTIFS(全コメントデータ!C:C,テーブル2[[#This Row],[ポケモン]],全コメントデータ!D:D,"自己レスの後")</f>
        <v>0</v>
      </c>
      <c r="E67" s="6" t="s">
        <v>549</v>
      </c>
      <c r="F67" s="6" t="s">
        <v>853</v>
      </c>
      <c r="G67" s="6" t="s">
        <v>550</v>
      </c>
      <c r="H67" s="6" t="s">
        <v>551</v>
      </c>
      <c r="K67" s="6" t="str">
        <f>IF(テーブル2[[#This Row],[言われた回数]]&gt;2,"多数派","少数派")</f>
        <v>少数派</v>
      </c>
      <c r="Q67" s="6">
        <f>COUNTIFS(全コメントデータ!C:C,テーブル2[[#This Row],[ポケモン]],全コメントデータ!G:G,"&lt;&gt;"&amp;"")</f>
        <v>1</v>
      </c>
    </row>
    <row r="68" spans="1:17">
      <c r="A68" s="6" t="s">
        <v>119</v>
      </c>
      <c r="B68" s="6">
        <f>COUNTIFS(全コメントデータ!C:C,テーブル2[[#This Row],[ポケモン]],全コメントデータ!D:D,"&lt;&gt;"&amp;"自己レス")</f>
        <v>1</v>
      </c>
      <c r="C68" s="7">
        <f>COUNTIFS(全コメントデータ!C:C,テーブル2[[#This Row],[ポケモン]],全コメントデータ!D:D,"自己レスの前")</f>
        <v>1</v>
      </c>
      <c r="D68" s="7">
        <f>COUNTIFS(全コメントデータ!C:C,テーブル2[[#This Row],[ポケモン]],全コメントデータ!D:D,"自己レスの後")</f>
        <v>0</v>
      </c>
      <c r="E68" s="6" t="s">
        <v>480</v>
      </c>
      <c r="F68" s="6" t="s">
        <v>852</v>
      </c>
      <c r="G68" s="6" t="s">
        <v>554</v>
      </c>
      <c r="H68" s="6" t="s">
        <v>563</v>
      </c>
      <c r="K68" s="6" t="str">
        <f>IF(テーブル2[[#This Row],[言われた回数]]&gt;2,"多数派","少数派")</f>
        <v>少数派</v>
      </c>
      <c r="Q68" s="6">
        <f>COUNTIFS(全コメントデータ!C:C,テーブル2[[#This Row],[ポケモン]],全コメントデータ!G:G,"&lt;&gt;"&amp;"")</f>
        <v>1</v>
      </c>
    </row>
    <row r="69" spans="1:17">
      <c r="A69" s="6" t="s">
        <v>218</v>
      </c>
      <c r="B69" s="6">
        <f>COUNTIFS(全コメントデータ!C:C,テーブル2[[#This Row],[ポケモン]],全コメントデータ!D:D,"&lt;&gt;"&amp;"自己レス")</f>
        <v>1</v>
      </c>
      <c r="C69" s="7">
        <f>COUNTIFS(全コメントデータ!C:C,テーブル2[[#This Row],[ポケモン]],全コメントデータ!D:D,"自己レスの前")</f>
        <v>1</v>
      </c>
      <c r="D69" s="7">
        <f>COUNTIFS(全コメントデータ!C:C,テーブル2[[#This Row],[ポケモン]],全コメントデータ!D:D,"自己レスの後")</f>
        <v>0</v>
      </c>
      <c r="E69" s="6" t="s">
        <v>516</v>
      </c>
      <c r="F69" s="6" t="s">
        <v>853</v>
      </c>
      <c r="G69" s="6" t="s">
        <v>556</v>
      </c>
      <c r="H69" s="6" t="s">
        <v>553</v>
      </c>
      <c r="K69" s="6" t="str">
        <f>IF(テーブル2[[#This Row],[言われた回数]]&gt;2,"多数派","少数派")</f>
        <v>少数派</v>
      </c>
      <c r="Q69" s="6">
        <f>COUNTIFS(全コメントデータ!C:C,テーブル2[[#This Row],[ポケモン]],全コメントデータ!G:G,"&lt;&gt;"&amp;"")</f>
        <v>1</v>
      </c>
    </row>
    <row r="70" spans="1:17">
      <c r="A70" s="6" t="s">
        <v>172</v>
      </c>
      <c r="B70" s="6">
        <f>COUNTIFS(全コメントデータ!C:C,テーブル2[[#This Row],[ポケモン]],全コメントデータ!D:D,"&lt;&gt;"&amp;"自己レス")</f>
        <v>1</v>
      </c>
      <c r="C70" s="7">
        <f>COUNTIFS(全コメントデータ!C:C,テーブル2[[#This Row],[ポケモン]],全コメントデータ!D:D,"自己レスの前")</f>
        <v>1</v>
      </c>
      <c r="D70" s="7">
        <f>COUNTIFS(全コメントデータ!C:C,テーブル2[[#This Row],[ポケモン]],全コメントデータ!D:D,"自己レスの後")</f>
        <v>0</v>
      </c>
      <c r="E70" s="6" t="s">
        <v>497</v>
      </c>
      <c r="F70" s="6" t="s">
        <v>853</v>
      </c>
      <c r="G70" s="6" t="s">
        <v>565</v>
      </c>
      <c r="H70" s="6" t="s">
        <v>553</v>
      </c>
      <c r="K70" s="6" t="str">
        <f>IF(テーブル2[[#This Row],[言われた回数]]&gt;2,"多数派","少数派")</f>
        <v>少数派</v>
      </c>
      <c r="Q70" s="6">
        <f>COUNTIFS(全コメントデータ!C:C,テーブル2[[#This Row],[ポケモン]],全コメントデータ!G:G,"&lt;&gt;"&amp;"")</f>
        <v>1</v>
      </c>
    </row>
    <row r="71" spans="1:17">
      <c r="A71" s="6" t="s">
        <v>174</v>
      </c>
      <c r="B71" s="6">
        <f>COUNTIFS(全コメントデータ!C:C,テーブル2[[#This Row],[ポケモン]],全コメントデータ!D:D,"&lt;&gt;"&amp;"自己レス")</f>
        <v>1</v>
      </c>
      <c r="C71" s="7">
        <f>COUNTIFS(全コメントデータ!C:C,テーブル2[[#This Row],[ポケモン]],全コメントデータ!D:D,"自己レスの前")</f>
        <v>1</v>
      </c>
      <c r="D71" s="7">
        <f>COUNTIFS(全コメントデータ!C:C,テーブル2[[#This Row],[ポケモン]],全コメントデータ!D:D,"自己レスの後")</f>
        <v>0</v>
      </c>
      <c r="E71" s="6" t="s">
        <v>540</v>
      </c>
      <c r="F71" s="6" t="s">
        <v>852</v>
      </c>
      <c r="G71" s="6" t="s">
        <v>554</v>
      </c>
      <c r="H71" s="6">
        <v>0</v>
      </c>
      <c r="K71" s="6" t="str">
        <f>IF(テーブル2[[#This Row],[言われた回数]]&gt;2,"多数派","少数派")</f>
        <v>少数派</v>
      </c>
      <c r="Q71" s="6">
        <f>COUNTIFS(全コメントデータ!C:C,テーブル2[[#This Row],[ポケモン]],全コメントデータ!G:G,"&lt;&gt;"&amp;"")</f>
        <v>1</v>
      </c>
    </row>
    <row r="72" spans="1:17">
      <c r="A72" s="6" t="s">
        <v>182</v>
      </c>
      <c r="B72" s="6">
        <f>COUNTIFS(全コメントデータ!C:C,テーブル2[[#This Row],[ポケモン]],全コメントデータ!D:D,"&lt;&gt;"&amp;"自己レス")</f>
        <v>1</v>
      </c>
      <c r="C72" s="7">
        <f>COUNTIFS(全コメントデータ!C:C,テーブル2[[#This Row],[ポケモン]],全コメントデータ!D:D,"自己レスの前")</f>
        <v>1</v>
      </c>
      <c r="D72" s="7">
        <f>COUNTIFS(全コメントデータ!C:C,テーブル2[[#This Row],[ポケモン]],全コメントデータ!D:D,"自己レスの後")</f>
        <v>0</v>
      </c>
      <c r="E72" s="6" t="s">
        <v>497</v>
      </c>
      <c r="F72" s="6" t="s">
        <v>853</v>
      </c>
      <c r="G72" s="6" t="s">
        <v>562</v>
      </c>
      <c r="H72" s="6">
        <v>0</v>
      </c>
      <c r="J72" s="6" t="s">
        <v>809</v>
      </c>
      <c r="K72" s="6" t="str">
        <f>IF(テーブル2[[#This Row],[言われた回数]]&gt;2,"多数派","少数派")</f>
        <v>少数派</v>
      </c>
      <c r="Q72" s="6">
        <f>COUNTIFS(全コメントデータ!C:C,テーブル2[[#This Row],[ポケモン]],全コメントデータ!G:G,"&lt;&gt;"&amp;"")</f>
        <v>1</v>
      </c>
    </row>
    <row r="73" spans="1:17">
      <c r="A73" s="6" t="s">
        <v>191</v>
      </c>
      <c r="B73" s="6">
        <f>COUNTIFS(全コメントデータ!C:C,テーブル2[[#This Row],[ポケモン]],全コメントデータ!D:D,"&lt;&gt;"&amp;"自己レス")</f>
        <v>1</v>
      </c>
      <c r="C73" s="7">
        <f>COUNTIFS(全コメントデータ!C:C,テーブル2[[#This Row],[ポケモン]],全コメントデータ!D:D,"自己レスの前")</f>
        <v>1</v>
      </c>
      <c r="D73" s="7">
        <f>COUNTIFS(全コメントデータ!C:C,テーブル2[[#This Row],[ポケモン]],全コメントデータ!D:D,"自己レスの後")</f>
        <v>0</v>
      </c>
      <c r="E73" s="6" t="s">
        <v>517</v>
      </c>
      <c r="F73" s="6" t="s">
        <v>853</v>
      </c>
      <c r="G73" s="6" t="s">
        <v>565</v>
      </c>
      <c r="H73" s="6">
        <v>0</v>
      </c>
      <c r="J73" s="6" t="s">
        <v>810</v>
      </c>
      <c r="K73" s="6" t="str">
        <f>IF(テーブル2[[#This Row],[言われた回数]]&gt;2,"多数派","少数派")</f>
        <v>少数派</v>
      </c>
      <c r="Q73" s="6">
        <f>COUNTIFS(全コメントデータ!C:C,テーブル2[[#This Row],[ポケモン]],全コメントデータ!G:G,"&lt;&gt;"&amp;"")</f>
        <v>1</v>
      </c>
    </row>
    <row r="74" spans="1:17">
      <c r="A74" s="6" t="s">
        <v>245</v>
      </c>
      <c r="B74" s="6">
        <f>COUNTIFS(全コメントデータ!C:C,テーブル2[[#This Row],[ポケモン]],全コメントデータ!D:D,"&lt;&gt;"&amp;"自己レス")</f>
        <v>1</v>
      </c>
      <c r="C74" s="7">
        <f>COUNTIFS(全コメントデータ!C:C,テーブル2[[#This Row],[ポケモン]],全コメントデータ!D:D,"自己レスの前")</f>
        <v>1</v>
      </c>
      <c r="D74" s="7">
        <f>COUNTIFS(全コメントデータ!C:C,テーブル2[[#This Row],[ポケモン]],全コメントデータ!D:D,"自己レスの後")</f>
        <v>0</v>
      </c>
      <c r="E74" s="6" t="s">
        <v>480</v>
      </c>
      <c r="F74" s="6" t="s">
        <v>852</v>
      </c>
      <c r="G74" s="6" t="s">
        <v>560</v>
      </c>
      <c r="H74" s="6" t="s">
        <v>564</v>
      </c>
      <c r="K74" s="6" t="str">
        <f>IF(テーブル2[[#This Row],[言われた回数]]&gt;2,"多数派","少数派")</f>
        <v>少数派</v>
      </c>
      <c r="Q74" s="6">
        <f>COUNTIFS(全コメントデータ!C:C,テーブル2[[#This Row],[ポケモン]],全コメントデータ!G:G,"&lt;&gt;"&amp;"")</f>
        <v>1</v>
      </c>
    </row>
    <row r="75" spans="1:17">
      <c r="A75" s="6" t="s">
        <v>204</v>
      </c>
      <c r="B75" s="6">
        <f>COUNTIFS(全コメントデータ!C:C,テーブル2[[#This Row],[ポケモン]],全コメントデータ!D:D,"&lt;&gt;"&amp;"自己レス")</f>
        <v>1</v>
      </c>
      <c r="C75" s="7">
        <f>COUNTIFS(全コメントデータ!C:C,テーブル2[[#This Row],[ポケモン]],全コメントデータ!D:D,"自己レスの前")</f>
        <v>1</v>
      </c>
      <c r="D75" s="7">
        <f>COUNTIFS(全コメントデータ!C:C,テーブル2[[#This Row],[ポケモン]],全コメントデータ!D:D,"自己レスの後")</f>
        <v>0</v>
      </c>
      <c r="E75" s="6" t="s">
        <v>480</v>
      </c>
      <c r="F75" s="6" t="s">
        <v>852</v>
      </c>
      <c r="G75" s="6" t="s">
        <v>551</v>
      </c>
      <c r="H75" s="6">
        <v>0</v>
      </c>
      <c r="K75" s="6" t="str">
        <f>IF(テーブル2[[#This Row],[言われた回数]]&gt;2,"多数派","少数派")</f>
        <v>少数派</v>
      </c>
      <c r="Q75" s="6">
        <f>COUNTIFS(全コメントデータ!C:C,テーブル2[[#This Row],[ポケモン]],全コメントデータ!G:G,"&lt;&gt;"&amp;"")</f>
        <v>1</v>
      </c>
    </row>
    <row r="76" spans="1:17">
      <c r="A76" s="6" t="s">
        <v>254</v>
      </c>
      <c r="B76" s="6">
        <f>COUNTIFS(全コメントデータ!C:C,テーブル2[[#This Row],[ポケモン]],全コメントデータ!D:D,"&lt;&gt;"&amp;"自己レス")</f>
        <v>1</v>
      </c>
      <c r="C76" s="7">
        <f>COUNTIFS(全コメントデータ!C:C,テーブル2[[#This Row],[ポケモン]],全コメントデータ!D:D,"自己レスの前")</f>
        <v>1</v>
      </c>
      <c r="D76" s="7">
        <f>COUNTIFS(全コメントデータ!C:C,テーブル2[[#This Row],[ポケモン]],全コメントデータ!D:D,"自己レスの後")</f>
        <v>0</v>
      </c>
      <c r="E76" s="6" t="s">
        <v>540</v>
      </c>
      <c r="F76" s="6" t="s">
        <v>853</v>
      </c>
      <c r="G76" s="6" t="s">
        <v>256</v>
      </c>
      <c r="H76" s="6" t="s">
        <v>551</v>
      </c>
      <c r="K76" s="6" t="str">
        <f>IF(テーブル2[[#This Row],[言われた回数]]&gt;2,"多数派","少数派")</f>
        <v>少数派</v>
      </c>
      <c r="Q76" s="6">
        <f>COUNTIFS(全コメントデータ!C:C,テーブル2[[#This Row],[ポケモン]],全コメントデータ!G:G,"&lt;&gt;"&amp;"")</f>
        <v>1</v>
      </c>
    </row>
    <row r="77" spans="1:17">
      <c r="A77" s="6" t="s">
        <v>273</v>
      </c>
      <c r="B77" s="6">
        <f>COUNTIFS(全コメントデータ!C:C,テーブル2[[#This Row],[ポケモン]],全コメントデータ!D:D,"&lt;&gt;"&amp;"自己レス")</f>
        <v>1</v>
      </c>
      <c r="C77" s="7">
        <f>COUNTIFS(全コメントデータ!C:C,テーブル2[[#This Row],[ポケモン]],全コメントデータ!D:D,"自己レスの前")</f>
        <v>1</v>
      </c>
      <c r="D77" s="7">
        <f>COUNTIFS(全コメントデータ!C:C,テーブル2[[#This Row],[ポケモン]],全コメントデータ!D:D,"自己レスの後")</f>
        <v>0</v>
      </c>
      <c r="E77" s="6" t="s">
        <v>518</v>
      </c>
      <c r="F77" s="6" t="s">
        <v>853</v>
      </c>
      <c r="G77" s="6" t="s">
        <v>561</v>
      </c>
      <c r="H77" s="6">
        <v>0</v>
      </c>
      <c r="K77" s="6" t="str">
        <f>IF(テーブル2[[#This Row],[言われた回数]]&gt;2,"多数派","少数派")</f>
        <v>少数派</v>
      </c>
      <c r="Q77" s="6">
        <f>COUNTIFS(全コメントデータ!C:C,テーブル2[[#This Row],[ポケモン]],全コメントデータ!G:G,"&lt;&gt;"&amp;"")</f>
        <v>1</v>
      </c>
    </row>
    <row r="78" spans="1:17">
      <c r="A78" s="6" t="s">
        <v>275</v>
      </c>
      <c r="B78" s="6">
        <f>COUNTIFS(全コメントデータ!C:C,テーブル2[[#This Row],[ポケモン]],全コメントデータ!D:D,"&lt;&gt;"&amp;"自己レス")</f>
        <v>1</v>
      </c>
      <c r="C78" s="7">
        <f>COUNTIFS(全コメントデータ!C:C,テーブル2[[#This Row],[ポケモン]],全コメントデータ!D:D,"自己レスの前")</f>
        <v>1</v>
      </c>
      <c r="D78" s="7">
        <f>COUNTIFS(全コメントデータ!C:C,テーブル2[[#This Row],[ポケモン]],全コメントデータ!D:D,"自己レスの後")</f>
        <v>0</v>
      </c>
      <c r="E78" s="6" t="s">
        <v>518</v>
      </c>
      <c r="F78" s="6" t="s">
        <v>853</v>
      </c>
      <c r="G78" s="6" t="s">
        <v>554</v>
      </c>
      <c r="H78" s="6" t="s">
        <v>559</v>
      </c>
      <c r="K78" s="6" t="str">
        <f>IF(テーブル2[[#This Row],[言われた回数]]&gt;2,"多数派","少数派")</f>
        <v>少数派</v>
      </c>
      <c r="Q78" s="6">
        <f>COUNTIFS(全コメントデータ!C:C,テーブル2[[#This Row],[ポケモン]],全コメントデータ!G:G,"&lt;&gt;"&amp;"")</f>
        <v>1</v>
      </c>
    </row>
    <row r="79" spans="1:17">
      <c r="A79" s="6" t="s">
        <v>277</v>
      </c>
      <c r="B79" s="6">
        <f>COUNTIFS(全コメントデータ!C:C,テーブル2[[#This Row],[ポケモン]],全コメントデータ!D:D,"&lt;&gt;"&amp;"自己レス")</f>
        <v>1</v>
      </c>
      <c r="C79" s="7">
        <f>COUNTIFS(全コメントデータ!C:C,テーブル2[[#This Row],[ポケモン]],全コメントデータ!D:D,"自己レスの前")</f>
        <v>1</v>
      </c>
      <c r="D79" s="7">
        <f>COUNTIFS(全コメントデータ!C:C,テーブル2[[#This Row],[ポケモン]],全コメントデータ!D:D,"自己レスの後")</f>
        <v>0</v>
      </c>
      <c r="E79" s="6" t="s">
        <v>518</v>
      </c>
      <c r="F79" s="6" t="s">
        <v>853</v>
      </c>
      <c r="G79" s="6" t="s">
        <v>561</v>
      </c>
      <c r="H79" s="6">
        <v>0</v>
      </c>
      <c r="K79" s="6" t="str">
        <f>IF(テーブル2[[#This Row],[言われた回数]]&gt;2,"多数派","少数派")</f>
        <v>少数派</v>
      </c>
      <c r="Q79" s="6">
        <f>COUNTIFS(全コメントデータ!C:C,テーブル2[[#This Row],[ポケモン]],全コメントデータ!G:G,"&lt;&gt;"&amp;"")</f>
        <v>1</v>
      </c>
    </row>
    <row r="80" spans="1:17">
      <c r="A80" s="6" t="s">
        <v>279</v>
      </c>
      <c r="B80" s="6">
        <f>COUNTIFS(全コメントデータ!C:C,テーブル2[[#This Row],[ポケモン]],全コメントデータ!D:D,"&lt;&gt;"&amp;"自己レス")</f>
        <v>1</v>
      </c>
      <c r="C80" s="7">
        <f>COUNTIFS(全コメントデータ!C:C,テーブル2[[#This Row],[ポケモン]],全コメントデータ!D:D,"自己レスの前")</f>
        <v>1</v>
      </c>
      <c r="D80" s="7">
        <f>COUNTIFS(全コメントデータ!C:C,テーブル2[[#This Row],[ポケモン]],全コメントデータ!D:D,"自己レスの後")</f>
        <v>0</v>
      </c>
      <c r="E80" s="6" t="s">
        <v>517</v>
      </c>
      <c r="F80" s="6" t="s">
        <v>853</v>
      </c>
      <c r="G80" s="6" t="s">
        <v>568</v>
      </c>
      <c r="H80" s="6">
        <v>0</v>
      </c>
      <c r="K80" s="6" t="str">
        <f>IF(テーブル2[[#This Row],[言われた回数]]&gt;2,"多数派","少数派")</f>
        <v>少数派</v>
      </c>
      <c r="Q80" s="6">
        <f>COUNTIFS(全コメントデータ!C:C,テーブル2[[#This Row],[ポケモン]],全コメントデータ!G:G,"&lt;&gt;"&amp;"")</f>
        <v>1</v>
      </c>
    </row>
    <row r="81" spans="1:17">
      <c r="A81" s="6" t="s">
        <v>281</v>
      </c>
      <c r="B81" s="6">
        <f>COUNTIFS(全コメントデータ!C:C,テーブル2[[#This Row],[ポケモン]],全コメントデータ!D:D,"&lt;&gt;"&amp;"自己レス")</f>
        <v>1</v>
      </c>
      <c r="C81" s="7">
        <f>COUNTIFS(全コメントデータ!C:C,テーブル2[[#This Row],[ポケモン]],全コメントデータ!D:D,"自己レスの前")</f>
        <v>1</v>
      </c>
      <c r="D81" s="7">
        <f>COUNTIFS(全コメントデータ!C:C,テーブル2[[#This Row],[ポケモン]],全コメントデータ!D:D,"自己レスの後")</f>
        <v>0</v>
      </c>
      <c r="E81" s="6" t="s">
        <v>540</v>
      </c>
      <c r="F81" s="6" t="s">
        <v>853</v>
      </c>
      <c r="G81" s="6" t="s">
        <v>559</v>
      </c>
      <c r="H81" s="6">
        <v>0</v>
      </c>
      <c r="K81" s="6" t="str">
        <f>IF(テーブル2[[#This Row],[言われた回数]]&gt;2,"多数派","少数派")</f>
        <v>少数派</v>
      </c>
      <c r="Q81" s="6">
        <f>COUNTIFS(全コメントデータ!C:C,テーブル2[[#This Row],[ポケモン]],全コメントデータ!G:G,"&lt;&gt;"&amp;"")</f>
        <v>1</v>
      </c>
    </row>
    <row r="82" spans="1:17">
      <c r="A82" s="6" t="s">
        <v>285</v>
      </c>
      <c r="B82" s="6">
        <f>COUNTIFS(全コメントデータ!C:C,テーブル2[[#This Row],[ポケモン]],全コメントデータ!D:D,"&lt;&gt;"&amp;"自己レス")</f>
        <v>1</v>
      </c>
      <c r="C82" s="7">
        <f>COUNTIFS(全コメントデータ!C:C,テーブル2[[#This Row],[ポケモン]],全コメントデータ!D:D,"自己レスの前")</f>
        <v>1</v>
      </c>
      <c r="D82" s="7">
        <f>COUNTIFS(全コメントデータ!C:C,テーブル2[[#This Row],[ポケモン]],全コメントデータ!D:D,"自己レスの後")</f>
        <v>0</v>
      </c>
      <c r="E82" s="6" t="s">
        <v>519</v>
      </c>
      <c r="F82" s="6" t="s">
        <v>853</v>
      </c>
      <c r="G82" s="6" t="s">
        <v>563</v>
      </c>
      <c r="H82" s="6">
        <v>0</v>
      </c>
      <c r="K82" s="6" t="str">
        <f>IF(テーブル2[[#This Row],[言われた回数]]&gt;2,"多数派","少数派")</f>
        <v>少数派</v>
      </c>
      <c r="Q82" s="6">
        <f>COUNTIFS(全コメントデータ!C:C,テーブル2[[#This Row],[ポケモン]],全コメントデータ!G:G,"&lt;&gt;"&amp;"")</f>
        <v>1</v>
      </c>
    </row>
    <row r="83" spans="1:17">
      <c r="A83" s="6" t="s">
        <v>287</v>
      </c>
      <c r="B83" s="6">
        <f>COUNTIFS(全コメントデータ!C:C,テーブル2[[#This Row],[ポケモン]],全コメントデータ!D:D,"&lt;&gt;"&amp;"自己レス")</f>
        <v>1</v>
      </c>
      <c r="C83" s="7">
        <f>COUNTIFS(全コメントデータ!C:C,テーブル2[[#This Row],[ポケモン]],全コメントデータ!D:D,"自己レスの前")</f>
        <v>1</v>
      </c>
      <c r="D83" s="7">
        <f>COUNTIFS(全コメントデータ!C:C,テーブル2[[#This Row],[ポケモン]],全コメントデータ!D:D,"自己レスの後")</f>
        <v>0</v>
      </c>
      <c r="E83" s="6" t="s">
        <v>480</v>
      </c>
      <c r="F83" s="6" t="s">
        <v>852</v>
      </c>
      <c r="G83" s="6" t="s">
        <v>565</v>
      </c>
      <c r="H83" s="6" t="s">
        <v>256</v>
      </c>
      <c r="K83" s="6" t="str">
        <f>IF(テーブル2[[#This Row],[言われた回数]]&gt;2,"多数派","少数派")</f>
        <v>少数派</v>
      </c>
      <c r="Q83" s="6">
        <f>COUNTIFS(全コメントデータ!C:C,テーブル2[[#This Row],[ポケモン]],全コメントデータ!G:G,"&lt;&gt;"&amp;"")</f>
        <v>1</v>
      </c>
    </row>
    <row r="84" spans="1:17">
      <c r="A84" s="6" t="s">
        <v>291</v>
      </c>
      <c r="B84" s="6">
        <f>COUNTIFS(全コメントデータ!C:C,テーブル2[[#This Row],[ポケモン]],全コメントデータ!D:D,"&lt;&gt;"&amp;"自己レス")</f>
        <v>1</v>
      </c>
      <c r="C84" s="7">
        <f>COUNTIFS(全コメントデータ!C:C,テーブル2[[#This Row],[ポケモン]],全コメントデータ!D:D,"自己レスの前")</f>
        <v>1</v>
      </c>
      <c r="D84" s="7">
        <f>COUNTIFS(全コメントデータ!C:C,テーブル2[[#This Row],[ポケモン]],全コメントデータ!D:D,"自己レスの後")</f>
        <v>0</v>
      </c>
      <c r="E84" s="6" t="s">
        <v>540</v>
      </c>
      <c r="F84" s="6" t="s">
        <v>853</v>
      </c>
      <c r="G84" s="6" t="s">
        <v>563</v>
      </c>
      <c r="H84" s="6" t="s">
        <v>562</v>
      </c>
      <c r="K84" s="6" t="str">
        <f>IF(テーブル2[[#This Row],[言われた回数]]&gt;2,"多数派","少数派")</f>
        <v>少数派</v>
      </c>
      <c r="Q84" s="6">
        <f>COUNTIFS(全コメントデータ!C:C,テーブル2[[#This Row],[ポケモン]],全コメントデータ!G:G,"&lt;&gt;"&amp;"")</f>
        <v>1</v>
      </c>
    </row>
    <row r="85" spans="1:17">
      <c r="A85" s="6" t="s">
        <v>293</v>
      </c>
      <c r="B85" s="6">
        <f>COUNTIFS(全コメントデータ!C:C,テーブル2[[#This Row],[ポケモン]],全コメントデータ!D:D,"&lt;&gt;"&amp;"自己レス")</f>
        <v>1</v>
      </c>
      <c r="C85" s="7">
        <f>COUNTIFS(全コメントデータ!C:C,テーブル2[[#This Row],[ポケモン]],全コメントデータ!D:D,"自己レスの前")</f>
        <v>1</v>
      </c>
      <c r="D85" s="7">
        <f>COUNTIFS(全コメントデータ!C:C,テーブル2[[#This Row],[ポケモン]],全コメントデータ!D:D,"自己レスの後")</f>
        <v>0</v>
      </c>
      <c r="E85" s="6" t="s">
        <v>517</v>
      </c>
      <c r="F85" s="6" t="s">
        <v>853</v>
      </c>
      <c r="G85" s="6" t="s">
        <v>256</v>
      </c>
      <c r="H85" s="6" t="s">
        <v>550</v>
      </c>
      <c r="K85" s="6" t="str">
        <f>IF(テーブル2[[#This Row],[言われた回数]]&gt;2,"多数派","少数派")</f>
        <v>少数派</v>
      </c>
      <c r="Q85" s="6">
        <f>COUNTIFS(全コメントデータ!C:C,テーブル2[[#This Row],[ポケモン]],全コメントデータ!G:G,"&lt;&gt;"&amp;"")</f>
        <v>1</v>
      </c>
    </row>
    <row r="86" spans="1:17">
      <c r="A86" s="6" t="s">
        <v>299</v>
      </c>
      <c r="B86" s="6">
        <f>COUNTIFS(全コメントデータ!C:C,テーブル2[[#This Row],[ポケモン]],全コメントデータ!D:D,"&lt;&gt;"&amp;"自己レス")</f>
        <v>1</v>
      </c>
      <c r="C86" s="7">
        <f>COUNTIFS(全コメントデータ!C:C,テーブル2[[#This Row],[ポケモン]],全コメントデータ!D:D,"自己レスの前")</f>
        <v>1</v>
      </c>
      <c r="D86" s="7">
        <f>COUNTIFS(全コメントデータ!C:C,テーブル2[[#This Row],[ポケモン]],全コメントデータ!D:D,"自己レスの後")</f>
        <v>0</v>
      </c>
      <c r="E86" s="6" t="s">
        <v>516</v>
      </c>
      <c r="F86" s="6" t="s">
        <v>853</v>
      </c>
      <c r="G86" s="6" t="s">
        <v>555</v>
      </c>
      <c r="H86" s="6" t="s">
        <v>564</v>
      </c>
      <c r="K86" s="6" t="str">
        <f>IF(テーブル2[[#This Row],[言われた回数]]&gt;2,"多数派","少数派")</f>
        <v>少数派</v>
      </c>
      <c r="Q86" s="6">
        <f>COUNTIFS(全コメントデータ!C:C,テーブル2[[#This Row],[ポケモン]],全コメントデータ!G:G,"&lt;&gt;"&amp;"")</f>
        <v>1</v>
      </c>
    </row>
    <row r="87" spans="1:17">
      <c r="A87" s="6" t="s">
        <v>301</v>
      </c>
      <c r="B87" s="6">
        <f>COUNTIFS(全コメントデータ!C:C,テーブル2[[#This Row],[ポケモン]],全コメントデータ!D:D,"&lt;&gt;"&amp;"自己レス")</f>
        <v>1</v>
      </c>
      <c r="C87" s="7">
        <f>COUNTIFS(全コメントデータ!C:C,テーブル2[[#This Row],[ポケモン]],全コメントデータ!D:D,"自己レスの前")</f>
        <v>1</v>
      </c>
      <c r="D87" s="7">
        <f>COUNTIFS(全コメントデータ!C:C,テーブル2[[#This Row],[ポケモン]],全コメントデータ!D:D,"自己レスの後")</f>
        <v>0</v>
      </c>
      <c r="E87" s="6" t="s">
        <v>517</v>
      </c>
      <c r="F87" s="6" t="s">
        <v>853</v>
      </c>
      <c r="G87" s="6" t="s">
        <v>550</v>
      </c>
      <c r="H87" s="6">
        <v>0</v>
      </c>
      <c r="K87" s="6" t="str">
        <f>IF(テーブル2[[#This Row],[言われた回数]]&gt;2,"多数派","少数派")</f>
        <v>少数派</v>
      </c>
      <c r="Q87" s="6">
        <f>COUNTIFS(全コメントデータ!C:C,テーブル2[[#This Row],[ポケモン]],全コメントデータ!G:G,"&lt;&gt;"&amp;"")</f>
        <v>1</v>
      </c>
    </row>
    <row r="88" spans="1:17">
      <c r="A88" s="6" t="s">
        <v>303</v>
      </c>
      <c r="B88" s="6">
        <f>COUNTIFS(全コメントデータ!C:C,テーブル2[[#This Row],[ポケモン]],全コメントデータ!D:D,"&lt;&gt;"&amp;"自己レス")</f>
        <v>1</v>
      </c>
      <c r="C88" s="7">
        <f>COUNTIFS(全コメントデータ!C:C,テーブル2[[#This Row],[ポケモン]],全コメントデータ!D:D,"自己レスの前")</f>
        <v>1</v>
      </c>
      <c r="D88" s="7">
        <f>COUNTIFS(全コメントデータ!C:C,テーブル2[[#This Row],[ポケモン]],全コメントデータ!D:D,"自己レスの後")</f>
        <v>0</v>
      </c>
      <c r="E88" s="6" t="s">
        <v>519</v>
      </c>
      <c r="F88" s="6" t="s">
        <v>853</v>
      </c>
      <c r="G88" s="6" t="s">
        <v>573</v>
      </c>
      <c r="H88" s="6" t="s">
        <v>572</v>
      </c>
      <c r="K88" s="6" t="str">
        <f>IF(テーブル2[[#This Row],[言われた回数]]&gt;2,"多数派","少数派")</f>
        <v>少数派</v>
      </c>
      <c r="Q88" s="6">
        <f>COUNTIFS(全コメントデータ!C:C,テーブル2[[#This Row],[ポケモン]],全コメントデータ!G:G,"&lt;&gt;"&amp;"")</f>
        <v>1</v>
      </c>
    </row>
    <row r="89" spans="1:17">
      <c r="A89" s="6" t="s">
        <v>314</v>
      </c>
      <c r="B89" s="6">
        <f>COUNTIFS(全コメントデータ!C:C,テーブル2[[#This Row],[ポケモン]],全コメントデータ!D:D,"&lt;&gt;"&amp;"自己レス")</f>
        <v>1</v>
      </c>
      <c r="C89" s="7">
        <f>COUNTIFS(全コメントデータ!C:C,テーブル2[[#This Row],[ポケモン]],全コメントデータ!D:D,"自己レスの前")</f>
        <v>1</v>
      </c>
      <c r="D89" s="7">
        <f>COUNTIFS(全コメントデータ!C:C,テーブル2[[#This Row],[ポケモン]],全コメントデータ!D:D,"自己レスの後")</f>
        <v>0</v>
      </c>
      <c r="E89" s="6" t="s">
        <v>480</v>
      </c>
      <c r="F89" s="6" t="s">
        <v>852</v>
      </c>
      <c r="G89" s="6" t="s">
        <v>550</v>
      </c>
      <c r="H89" s="6">
        <v>0</v>
      </c>
      <c r="K89" s="6" t="str">
        <f>IF(テーブル2[[#This Row],[言われた回数]]&gt;2,"多数派","少数派")</f>
        <v>少数派</v>
      </c>
      <c r="Q89" s="6">
        <f>COUNTIFS(全コメントデータ!C:C,テーブル2[[#This Row],[ポケモン]],全コメントデータ!G:G,"&lt;&gt;"&amp;"")</f>
        <v>1</v>
      </c>
    </row>
    <row r="90" spans="1:17">
      <c r="A90" s="6" t="s">
        <v>316</v>
      </c>
      <c r="B90" s="6">
        <f>COUNTIFS(全コメントデータ!C:C,テーブル2[[#This Row],[ポケモン]],全コメントデータ!D:D,"&lt;&gt;"&amp;"自己レス")</f>
        <v>1</v>
      </c>
      <c r="C90" s="7">
        <f>COUNTIFS(全コメントデータ!C:C,テーブル2[[#This Row],[ポケモン]],全コメントデータ!D:D,"自己レスの前")</f>
        <v>1</v>
      </c>
      <c r="D90" s="7">
        <f>COUNTIFS(全コメントデータ!C:C,テーブル2[[#This Row],[ポケモン]],全コメントデータ!D:D,"自己レスの後")</f>
        <v>0</v>
      </c>
      <c r="E90" s="6" t="s">
        <v>480</v>
      </c>
      <c r="F90" s="6" t="s">
        <v>852</v>
      </c>
      <c r="G90" s="6" t="s">
        <v>550</v>
      </c>
      <c r="H90" s="6" t="s">
        <v>553</v>
      </c>
      <c r="K90" s="6" t="str">
        <f>IF(テーブル2[[#This Row],[言われた回数]]&gt;2,"多数派","少数派")</f>
        <v>少数派</v>
      </c>
      <c r="Q90" s="6">
        <f>COUNTIFS(全コメントデータ!C:C,テーブル2[[#This Row],[ポケモン]],全コメントデータ!G:G,"&lt;&gt;"&amp;"")</f>
        <v>1</v>
      </c>
    </row>
    <row r="91" spans="1:17">
      <c r="A91" s="6" t="s">
        <v>328</v>
      </c>
      <c r="B91" s="6">
        <f>COUNTIFS(全コメントデータ!C:C,テーブル2[[#This Row],[ポケモン]],全コメントデータ!D:D,"&lt;&gt;"&amp;"自己レス")</f>
        <v>1</v>
      </c>
      <c r="C91" s="7">
        <f>COUNTIFS(全コメントデータ!C:C,テーブル2[[#This Row],[ポケモン]],全コメントデータ!D:D,"自己レスの前")</f>
        <v>1</v>
      </c>
      <c r="D91" s="7">
        <f>COUNTIFS(全コメントデータ!C:C,テーブル2[[#This Row],[ポケモン]],全コメントデータ!D:D,"自己レスの後")</f>
        <v>0</v>
      </c>
      <c r="E91" s="6" t="s">
        <v>549</v>
      </c>
      <c r="F91" s="6" t="s">
        <v>853</v>
      </c>
      <c r="G91" s="6" t="s">
        <v>562</v>
      </c>
      <c r="H91" s="6">
        <v>0</v>
      </c>
      <c r="K91" s="6" t="str">
        <f>IF(テーブル2[[#This Row],[言われた回数]]&gt;2,"多数派","少数派")</f>
        <v>少数派</v>
      </c>
      <c r="Q91" s="6">
        <f>COUNTIFS(全コメントデータ!C:C,テーブル2[[#This Row],[ポケモン]],全コメントデータ!G:G,"&lt;&gt;"&amp;"")</f>
        <v>1</v>
      </c>
    </row>
    <row r="92" spans="1:17">
      <c r="A92" s="6" t="s">
        <v>330</v>
      </c>
      <c r="B92" s="6">
        <f>COUNTIFS(全コメントデータ!C:C,テーブル2[[#This Row],[ポケモン]],全コメントデータ!D:D,"&lt;&gt;"&amp;"自己レス")</f>
        <v>1</v>
      </c>
      <c r="C92" s="7">
        <f>COUNTIFS(全コメントデータ!C:C,テーブル2[[#This Row],[ポケモン]],全コメントデータ!D:D,"自己レスの前")</f>
        <v>1</v>
      </c>
      <c r="D92" s="7">
        <f>COUNTIFS(全コメントデータ!C:C,テーブル2[[#This Row],[ポケモン]],全コメントデータ!D:D,"自己レスの後")</f>
        <v>0</v>
      </c>
      <c r="E92" s="6" t="s">
        <v>480</v>
      </c>
      <c r="F92" s="6" t="s">
        <v>853</v>
      </c>
      <c r="G92" s="6" t="s">
        <v>554</v>
      </c>
      <c r="H92" s="6">
        <v>0</v>
      </c>
      <c r="K92" s="6" t="str">
        <f>IF(テーブル2[[#This Row],[言われた回数]]&gt;2,"多数派","少数派")</f>
        <v>少数派</v>
      </c>
      <c r="Q92" s="6">
        <f>COUNTIFS(全コメントデータ!C:C,テーブル2[[#This Row],[ポケモン]],全コメントデータ!G:G,"&lt;&gt;"&amp;"")</f>
        <v>1</v>
      </c>
    </row>
    <row r="93" spans="1:17">
      <c r="A93" s="6" t="s">
        <v>463</v>
      </c>
      <c r="B93" s="6">
        <f>COUNTIFS(全コメントデータ!C:C,テーブル2[[#This Row],[ポケモン]],全コメントデータ!D:D,"&lt;&gt;"&amp;"自己レス")</f>
        <v>1</v>
      </c>
      <c r="C93" s="7">
        <f>COUNTIFS(全コメントデータ!C:C,テーブル2[[#This Row],[ポケモン]],全コメントデータ!D:D,"自己レスの前")</f>
        <v>1</v>
      </c>
      <c r="D93" s="7">
        <f>COUNTIFS(全コメントデータ!C:C,テーブル2[[#This Row],[ポケモン]],全コメントデータ!D:D,"自己レスの後")</f>
        <v>0</v>
      </c>
      <c r="E93" s="6" t="s">
        <v>497</v>
      </c>
      <c r="F93" s="6" t="s">
        <v>853</v>
      </c>
      <c r="G93" s="6" t="s">
        <v>559</v>
      </c>
      <c r="H93" s="6" t="s">
        <v>553</v>
      </c>
      <c r="K93" s="6" t="str">
        <f>IF(テーブル2[[#This Row],[言われた回数]]&gt;2,"多数派","少数派")</f>
        <v>少数派</v>
      </c>
      <c r="Q93" s="6">
        <f>COUNTIFS(全コメントデータ!C:C,テーブル2[[#This Row],[ポケモン]],全コメントデータ!G:G,"&lt;&gt;"&amp;"")</f>
        <v>1</v>
      </c>
    </row>
    <row r="94" spans="1:17">
      <c r="A94" s="6" t="s">
        <v>464</v>
      </c>
      <c r="B94" s="6">
        <f>COUNTIFS(全コメントデータ!C:C,テーブル2[[#This Row],[ポケモン]],全コメントデータ!D:D,"&lt;&gt;"&amp;"自己レス")</f>
        <v>1</v>
      </c>
      <c r="C94" s="7">
        <f>COUNTIFS(全コメントデータ!C:C,テーブル2[[#This Row],[ポケモン]],全コメントデータ!D:D,"自己レスの前")</f>
        <v>1</v>
      </c>
      <c r="D94" s="7">
        <f>COUNTIFS(全コメントデータ!C:C,テーブル2[[#This Row],[ポケモン]],全コメントデータ!D:D,"自己レスの後")</f>
        <v>0</v>
      </c>
      <c r="E94" s="6" t="s">
        <v>505</v>
      </c>
      <c r="F94" s="6" t="s">
        <v>853</v>
      </c>
      <c r="G94" s="6" t="s">
        <v>550</v>
      </c>
      <c r="H94" s="6" t="s">
        <v>256</v>
      </c>
      <c r="K94" s="6" t="str">
        <f>IF(テーブル2[[#This Row],[言われた回数]]&gt;2,"多数派","少数派")</f>
        <v>少数派</v>
      </c>
      <c r="Q94" s="6">
        <f>COUNTIFS(全コメントデータ!C:C,テーブル2[[#This Row],[ポケモン]],全コメントデータ!G:G,"&lt;&gt;"&amp;"")</f>
        <v>1</v>
      </c>
    </row>
    <row r="95" spans="1:17">
      <c r="A95" s="6" t="s">
        <v>466</v>
      </c>
      <c r="B95" s="6">
        <f>COUNTIFS(全コメントデータ!C:C,テーブル2[[#This Row],[ポケモン]],全コメントデータ!D:D,"&lt;&gt;"&amp;"自己レス")</f>
        <v>1</v>
      </c>
      <c r="C95" s="7">
        <f>COUNTIFS(全コメントデータ!C:C,テーブル2[[#This Row],[ポケモン]],全コメントデータ!D:D,"自己レスの前")</f>
        <v>1</v>
      </c>
      <c r="D95" s="7">
        <f>COUNTIFS(全コメントデータ!C:C,テーブル2[[#This Row],[ポケモン]],全コメントデータ!D:D,"自己レスの後")</f>
        <v>0</v>
      </c>
      <c r="E95" s="6" t="s">
        <v>549</v>
      </c>
      <c r="F95" s="6" t="s">
        <v>853</v>
      </c>
      <c r="G95" s="6" t="s">
        <v>552</v>
      </c>
      <c r="H95" s="6">
        <v>0</v>
      </c>
      <c r="K95" s="6" t="str">
        <f>IF(テーブル2[[#This Row],[言われた回数]]&gt;2,"多数派","少数派")</f>
        <v>少数派</v>
      </c>
      <c r="Q95" s="6">
        <f>COUNTIFS(全コメントデータ!C:C,テーブル2[[#This Row],[ポケモン]],全コメントデータ!G:G,"&lt;&gt;"&amp;"")</f>
        <v>1</v>
      </c>
    </row>
    <row r="96" spans="1:17">
      <c r="A96" s="6" t="s">
        <v>425</v>
      </c>
      <c r="B96" s="6">
        <f>COUNTIFS(全コメントデータ!C:C,テーブル2[[#This Row],[ポケモン]],全コメントデータ!D:D,"&lt;&gt;"&amp;"自己レス")</f>
        <v>1</v>
      </c>
      <c r="C96" s="7">
        <f>COUNTIFS(全コメントデータ!C:C,テーブル2[[#This Row],[ポケモン]],全コメントデータ!D:D,"自己レスの前")</f>
        <v>0</v>
      </c>
      <c r="D96" s="7">
        <f>COUNTIFS(全コメントデータ!C:C,テーブル2[[#This Row],[ポケモン]],全コメントデータ!D:D,"自己レスの後")</f>
        <v>1</v>
      </c>
      <c r="E96" s="6" t="s">
        <v>516</v>
      </c>
      <c r="F96" s="6" t="s">
        <v>853</v>
      </c>
      <c r="G96" s="6" t="s">
        <v>552</v>
      </c>
      <c r="H96" s="6" t="s">
        <v>561</v>
      </c>
      <c r="K96" s="6" t="str">
        <f>IF(テーブル2[[#This Row],[言われた回数]]&gt;2,"多数派","少数派")</f>
        <v>少数派</v>
      </c>
      <c r="Q96" s="6">
        <f>COUNTIFS(全コメントデータ!C:C,テーブル2[[#This Row],[ポケモン]],全コメントデータ!G:G,"&lt;&gt;"&amp;"")</f>
        <v>1</v>
      </c>
    </row>
    <row r="97" spans="1:17">
      <c r="A97" s="6" t="s">
        <v>536</v>
      </c>
      <c r="B97" s="6">
        <f>COUNTIFS(全コメントデータ!C:C,テーブル2[[#This Row],[ポケモン]],全コメントデータ!D:D,"&lt;&gt;"&amp;"自己レス")</f>
        <v>1</v>
      </c>
      <c r="C97" s="7">
        <f>COUNTIFS(全コメントデータ!C:C,テーブル2[[#This Row],[ポケモン]],全コメントデータ!D:D,"自己レスの前")</f>
        <v>0</v>
      </c>
      <c r="D97" s="7">
        <f>COUNTIFS(全コメントデータ!C:C,テーブル2[[#This Row],[ポケモン]],全コメントデータ!D:D,"自己レスの後")</f>
        <v>1</v>
      </c>
      <c r="E97" s="6" t="s">
        <v>480</v>
      </c>
      <c r="F97" s="6" t="s">
        <v>852</v>
      </c>
      <c r="G97" s="6" t="s">
        <v>568</v>
      </c>
      <c r="H97" s="6">
        <v>0</v>
      </c>
      <c r="K97" s="6" t="str">
        <f>IF(テーブル2[[#This Row],[言われた回数]]&gt;2,"多数派","少数派")</f>
        <v>少数派</v>
      </c>
      <c r="Q97" s="6">
        <f>COUNTIFS(全コメントデータ!C:C,テーブル2[[#This Row],[ポケモン]],全コメントデータ!G:G,"&lt;&gt;"&amp;"")</f>
        <v>1</v>
      </c>
    </row>
    <row r="98" spans="1:17">
      <c r="A98" s="6" t="s">
        <v>446</v>
      </c>
      <c r="B98" s="6">
        <f>COUNTIFS(全コメントデータ!C:C,テーブル2[[#This Row],[ポケモン]],全コメントデータ!D:D,"&lt;&gt;"&amp;"自己レス")</f>
        <v>1</v>
      </c>
      <c r="C98" s="7">
        <f>COUNTIFS(全コメントデータ!C:C,テーブル2[[#This Row],[ポケモン]],全コメントデータ!D:D,"自己レスの前")</f>
        <v>0</v>
      </c>
      <c r="D98" s="7">
        <f>COUNTIFS(全コメントデータ!C:C,テーブル2[[#This Row],[ポケモン]],全コメントデータ!D:D,"自己レスの後")</f>
        <v>1</v>
      </c>
      <c r="E98" s="6" t="s">
        <v>480</v>
      </c>
      <c r="F98" s="6" t="s">
        <v>852</v>
      </c>
      <c r="G98" s="6" t="s">
        <v>560</v>
      </c>
      <c r="H98" s="6">
        <v>0</v>
      </c>
      <c r="K98" s="6" t="str">
        <f>IF(テーブル2[[#This Row],[言われた回数]]&gt;2,"多数派","少数派")</f>
        <v>少数派</v>
      </c>
      <c r="Q98" s="6">
        <f>COUNTIFS(全コメントデータ!C:C,テーブル2[[#This Row],[ポケモン]],全コメントデータ!G:G,"&lt;&gt;"&amp;"")</f>
        <v>1</v>
      </c>
    </row>
    <row r="99" spans="1:17">
      <c r="A99" s="6" t="s">
        <v>600</v>
      </c>
      <c r="B99" s="6">
        <f>COUNTIFS(全コメントデータ!C:C,テーブル2[[#This Row],[ポケモン]],全コメントデータ!D:D,"&lt;&gt;"&amp;"自己レス")</f>
        <v>1</v>
      </c>
      <c r="C99" s="7">
        <f>COUNTIFS(全コメントデータ!C:C,テーブル2[[#This Row],[ポケモン]],全コメントデータ!D:D,"自己レスの前")</f>
        <v>0</v>
      </c>
      <c r="D99" s="7">
        <f>COUNTIFS(全コメントデータ!C:C,テーブル2[[#This Row],[ポケモン]],全コメントデータ!D:D,"自己レスの後")</f>
        <v>1</v>
      </c>
      <c r="E99" s="6" t="s">
        <v>497</v>
      </c>
      <c r="F99" s="6" t="s">
        <v>853</v>
      </c>
      <c r="G99" s="6" t="s">
        <v>572</v>
      </c>
      <c r="K99" s="6" t="str">
        <f>IF(テーブル2[[#This Row],[言われた回数]]&gt;2,"多数派","少数派")</f>
        <v>少数派</v>
      </c>
      <c r="Q99" s="6">
        <f>COUNTIFS(全コメントデータ!C:C,テーブル2[[#This Row],[ポケモン]],全コメントデータ!G:G,"&lt;&gt;"&amp;"")</f>
        <v>1</v>
      </c>
    </row>
    <row r="100" spans="1:17">
      <c r="A100" s="6" t="s">
        <v>760</v>
      </c>
      <c r="B100" s="6">
        <f>COUNTIFS(全コメントデータ!C:C,テーブル2[[#This Row],[ポケモン]],全コメントデータ!D:D,"&lt;&gt;"&amp;"自己レス")</f>
        <v>1</v>
      </c>
      <c r="C100" s="7">
        <f>COUNTIFS(全コメントデータ!C:C,テーブル2[[#This Row],[ポケモン]],全コメントデータ!D:D,"自己レスの前")</f>
        <v>0</v>
      </c>
      <c r="D100" s="7">
        <f>COUNTIFS(全コメントデータ!C:C,テーブル2[[#This Row],[ポケモン]],全コメントデータ!D:D,"自己レスの後")</f>
        <v>1</v>
      </c>
      <c r="E100" s="6" t="s">
        <v>540</v>
      </c>
      <c r="F100" s="6" t="s">
        <v>852</v>
      </c>
      <c r="G100" s="6" t="s">
        <v>586</v>
      </c>
      <c r="K100" s="6" t="str">
        <f>IF(テーブル2[[#This Row],[言われた回数]]&gt;2,"多数派","少数派")</f>
        <v>少数派</v>
      </c>
      <c r="Q100" s="6">
        <f>COUNTIFS(全コメントデータ!C:C,テーブル2[[#This Row],[ポケモン]],全コメントデータ!G:G,"&lt;&gt;"&amp;"")</f>
        <v>1</v>
      </c>
    </row>
    <row r="101" spans="1:17">
      <c r="A101" s="6" t="s">
        <v>761</v>
      </c>
      <c r="B101" s="6">
        <f>COUNTIFS(全コメントデータ!C:C,テーブル2[[#This Row],[ポケモン]],全コメントデータ!D:D,"&lt;&gt;"&amp;"自己レス")</f>
        <v>1</v>
      </c>
      <c r="C101" s="7">
        <f>COUNTIFS(全コメントデータ!C:C,テーブル2[[#This Row],[ポケモン]],全コメントデータ!D:D,"自己レスの前")</f>
        <v>0</v>
      </c>
      <c r="D101" s="7">
        <f>COUNTIFS(全コメントデータ!C:C,テーブル2[[#This Row],[ポケモン]],全コメントデータ!D:D,"自己レスの後")</f>
        <v>1</v>
      </c>
      <c r="E101" s="6" t="s">
        <v>540</v>
      </c>
      <c r="F101" s="6" t="s">
        <v>852</v>
      </c>
      <c r="G101" s="6" t="s">
        <v>650</v>
      </c>
      <c r="K101" s="6" t="str">
        <f>IF(テーブル2[[#This Row],[言われた回数]]&gt;2,"多数派","少数派")</f>
        <v>少数派</v>
      </c>
      <c r="Q101" s="6">
        <f>COUNTIFS(全コメントデータ!C:C,テーブル2[[#This Row],[ポケモン]],全コメントデータ!G:G,"&lt;&gt;"&amp;"")</f>
        <v>1</v>
      </c>
    </row>
    <row r="102" spans="1:17">
      <c r="A102" s="6" t="s">
        <v>618</v>
      </c>
      <c r="B102" s="6">
        <f>COUNTIFS(全コメントデータ!C:C,テーブル2[[#This Row],[ポケモン]],全コメントデータ!D:D,"&lt;&gt;"&amp;"自己レス")</f>
        <v>1</v>
      </c>
      <c r="C102" s="7">
        <f>COUNTIFS(全コメントデータ!C:C,テーブル2[[#This Row],[ポケモン]],全コメントデータ!D:D,"自己レスの前")</f>
        <v>0</v>
      </c>
      <c r="D102" s="7">
        <f>COUNTIFS(全コメントデータ!C:C,テーブル2[[#This Row],[ポケモン]],全コメントデータ!D:D,"自己レスの後")</f>
        <v>1</v>
      </c>
      <c r="E102" s="6" t="s">
        <v>540</v>
      </c>
      <c r="F102" s="6" t="s">
        <v>852</v>
      </c>
      <c r="G102" s="6" t="s">
        <v>501</v>
      </c>
      <c r="K102" s="6" t="str">
        <f>IF(テーブル2[[#This Row],[言われた回数]]&gt;2,"多数派","少数派")</f>
        <v>少数派</v>
      </c>
      <c r="Q102" s="6">
        <f>COUNTIFS(全コメントデータ!C:C,テーブル2[[#This Row],[ポケモン]],全コメントデータ!G:G,"&lt;&gt;"&amp;"")</f>
        <v>1</v>
      </c>
    </row>
    <row r="103" spans="1:17">
      <c r="A103" s="6" t="s">
        <v>763</v>
      </c>
      <c r="B103" s="6">
        <f>COUNTIFS(全コメントデータ!C:C,テーブル2[[#This Row],[ポケモン]],全コメントデータ!D:D,"&lt;&gt;"&amp;"自己レス")</f>
        <v>1</v>
      </c>
      <c r="C103" s="7">
        <f>COUNTIFS(全コメントデータ!C:C,テーブル2[[#This Row],[ポケモン]],全コメントデータ!D:D,"自己レスの前")</f>
        <v>0</v>
      </c>
      <c r="D103" s="7">
        <f>COUNTIFS(全コメントデータ!C:C,テーブル2[[#This Row],[ポケモン]],全コメントデータ!D:D,"自己レスの後")</f>
        <v>1</v>
      </c>
      <c r="E103" s="6" t="s">
        <v>540</v>
      </c>
      <c r="F103" s="6" t="s">
        <v>853</v>
      </c>
      <c r="G103" s="6" t="s">
        <v>571</v>
      </c>
      <c r="H103" s="6" t="s">
        <v>783</v>
      </c>
      <c r="K103" s="6" t="str">
        <f>IF(テーブル2[[#This Row],[言われた回数]]&gt;2,"多数派","少数派")</f>
        <v>少数派</v>
      </c>
      <c r="Q103" s="6">
        <f>COUNTIFS(全コメントデータ!C:C,テーブル2[[#This Row],[ポケモン]],全コメントデータ!G:G,"&lt;&gt;"&amp;"")</f>
        <v>1</v>
      </c>
    </row>
    <row r="104" spans="1:17">
      <c r="A104" s="6" t="s">
        <v>623</v>
      </c>
      <c r="B104" s="6">
        <f>COUNTIFS(全コメントデータ!C:C,テーブル2[[#This Row],[ポケモン]],全コメントデータ!D:D,"&lt;&gt;"&amp;"自己レス")</f>
        <v>1</v>
      </c>
      <c r="C104" s="7">
        <f>COUNTIFS(全コメントデータ!C:C,テーブル2[[#This Row],[ポケモン]],全コメントデータ!D:D,"自己レスの前")</f>
        <v>0</v>
      </c>
      <c r="D104" s="7">
        <f>COUNTIFS(全コメントデータ!C:C,テーブル2[[#This Row],[ポケモン]],全コメントデータ!D:D,"自己レスの後")</f>
        <v>1</v>
      </c>
      <c r="E104" s="6" t="s">
        <v>549</v>
      </c>
      <c r="F104" s="6" t="s">
        <v>853</v>
      </c>
      <c r="G104" s="6" t="s">
        <v>784</v>
      </c>
      <c r="K104" s="6" t="str">
        <f>IF(テーブル2[[#This Row],[言われた回数]]&gt;2,"多数派","少数派")</f>
        <v>少数派</v>
      </c>
      <c r="Q104" s="6">
        <f>COUNTIFS(全コメントデータ!C:C,テーブル2[[#This Row],[ポケモン]],全コメントデータ!G:G,"&lt;&gt;"&amp;"")</f>
        <v>1</v>
      </c>
    </row>
    <row r="105" spans="1:17">
      <c r="A105" s="6" t="s">
        <v>624</v>
      </c>
      <c r="B105" s="6">
        <f>COUNTIFS(全コメントデータ!C:C,テーブル2[[#This Row],[ポケモン]],全コメントデータ!D:D,"&lt;&gt;"&amp;"自己レス")</f>
        <v>1</v>
      </c>
      <c r="C105" s="7">
        <f>COUNTIFS(全コメントデータ!C:C,テーブル2[[#This Row],[ポケモン]],全コメントデータ!D:D,"自己レスの前")</f>
        <v>0</v>
      </c>
      <c r="D105" s="7">
        <f>COUNTIFS(全コメントデータ!C:C,テーブル2[[#This Row],[ポケモン]],全コメントデータ!D:D,"自己レスの後")</f>
        <v>1</v>
      </c>
      <c r="E105" s="6" t="s">
        <v>540</v>
      </c>
      <c r="F105" s="6" t="s">
        <v>852</v>
      </c>
      <c r="G105" s="6" t="s">
        <v>784</v>
      </c>
      <c r="H105" s="6" t="s">
        <v>586</v>
      </c>
      <c r="K105" s="6" t="str">
        <f>IF(テーブル2[[#This Row],[言われた回数]]&gt;2,"多数派","少数派")</f>
        <v>少数派</v>
      </c>
      <c r="Q105" s="6">
        <f>COUNTIFS(全コメントデータ!C:C,テーブル2[[#This Row],[ポケモン]],全コメントデータ!G:G,"&lt;&gt;"&amp;"")</f>
        <v>1</v>
      </c>
    </row>
    <row r="106" spans="1:17">
      <c r="A106" s="6" t="s">
        <v>767</v>
      </c>
      <c r="B106" s="6">
        <f>COUNTIFS(全コメントデータ!C:C,テーブル2[[#This Row],[ポケモン]],全コメントデータ!D:D,"&lt;&gt;"&amp;"自己レス")</f>
        <v>1</v>
      </c>
      <c r="C106" s="7">
        <f>COUNTIFS(全コメントデータ!C:C,テーブル2[[#This Row],[ポケモン]],全コメントデータ!D:D,"自己レスの前")</f>
        <v>0</v>
      </c>
      <c r="D106" s="7">
        <f>COUNTIFS(全コメントデータ!C:C,テーブル2[[#This Row],[ポケモン]],全コメントデータ!D:D,"自己レスの後")</f>
        <v>1</v>
      </c>
      <c r="E106" s="6" t="s">
        <v>540</v>
      </c>
      <c r="F106" s="6" t="s">
        <v>852</v>
      </c>
      <c r="G106" s="6" t="s">
        <v>572</v>
      </c>
      <c r="K106" s="6" t="str">
        <f>IF(テーブル2[[#This Row],[言われた回数]]&gt;2,"多数派","少数派")</f>
        <v>少数派</v>
      </c>
      <c r="Q106" s="6">
        <f>COUNTIFS(全コメントデータ!C:C,テーブル2[[#This Row],[ポケモン]],全コメントデータ!G:G,"&lt;&gt;"&amp;"")</f>
        <v>1</v>
      </c>
    </row>
    <row r="107" spans="1:17">
      <c r="A107" s="6" t="s">
        <v>768</v>
      </c>
      <c r="B107" s="6">
        <f>COUNTIFS(全コメントデータ!C:C,テーブル2[[#This Row],[ポケモン]],全コメントデータ!D:D,"&lt;&gt;"&amp;"自己レス")</f>
        <v>1</v>
      </c>
      <c r="C107" s="7">
        <f>COUNTIFS(全コメントデータ!C:C,テーブル2[[#This Row],[ポケモン]],全コメントデータ!D:D,"自己レスの前")</f>
        <v>0</v>
      </c>
      <c r="D107" s="7">
        <f>COUNTIFS(全コメントデータ!C:C,テーブル2[[#This Row],[ポケモン]],全コメントデータ!D:D,"自己レスの後")</f>
        <v>1</v>
      </c>
      <c r="E107" s="6" t="s">
        <v>549</v>
      </c>
      <c r="F107" s="6" t="s">
        <v>853</v>
      </c>
      <c r="G107" s="6" t="s">
        <v>572</v>
      </c>
      <c r="H107" s="6" t="s">
        <v>782</v>
      </c>
      <c r="K107" s="6" t="str">
        <f>IF(テーブル2[[#This Row],[言われた回数]]&gt;2,"多数派","少数派")</f>
        <v>少数派</v>
      </c>
      <c r="Q107" s="6">
        <f>COUNTIFS(全コメントデータ!C:C,テーブル2[[#This Row],[ポケモン]],全コメントデータ!G:G,"&lt;&gt;"&amp;"")</f>
        <v>1</v>
      </c>
    </row>
    <row r="108" spans="1:17">
      <c r="A108" s="6" t="s">
        <v>769</v>
      </c>
      <c r="B108" s="6">
        <f>COUNTIFS(全コメントデータ!C:C,テーブル2[[#This Row],[ポケモン]],全コメントデータ!D:D,"&lt;&gt;"&amp;"自己レス")</f>
        <v>1</v>
      </c>
      <c r="C108" s="7">
        <f>COUNTIFS(全コメントデータ!C:C,テーブル2[[#This Row],[ポケモン]],全コメントデータ!D:D,"自己レスの前")</f>
        <v>0</v>
      </c>
      <c r="D108" s="7">
        <f>COUNTIFS(全コメントデータ!C:C,テーブル2[[#This Row],[ポケモン]],全コメントデータ!D:D,"自己レスの後")</f>
        <v>1</v>
      </c>
      <c r="E108" s="6" t="s">
        <v>540</v>
      </c>
      <c r="F108" s="6" t="s">
        <v>853</v>
      </c>
      <c r="G108" s="6" t="s">
        <v>784</v>
      </c>
      <c r="K108" s="6" t="str">
        <f>IF(テーブル2[[#This Row],[言われた回数]]&gt;2,"多数派","少数派")</f>
        <v>少数派</v>
      </c>
      <c r="Q108" s="6">
        <f>COUNTIFS(全コメントデータ!C:C,テーブル2[[#This Row],[ポケモン]],全コメントデータ!G:G,"&lt;&gt;"&amp;"")</f>
        <v>1</v>
      </c>
    </row>
    <row r="109" spans="1:17">
      <c r="A109" s="6" t="s">
        <v>770</v>
      </c>
      <c r="B109" s="6">
        <f>COUNTIFS(全コメントデータ!C:C,テーブル2[[#This Row],[ポケモン]],全コメントデータ!D:D,"&lt;&gt;"&amp;"自己レス")</f>
        <v>1</v>
      </c>
      <c r="C109" s="7">
        <f>COUNTIFS(全コメントデータ!C:C,テーブル2[[#This Row],[ポケモン]],全コメントデータ!D:D,"自己レスの前")</f>
        <v>0</v>
      </c>
      <c r="D109" s="7">
        <f>COUNTIFS(全コメントデータ!C:C,テーブル2[[#This Row],[ポケモン]],全コメントデータ!D:D,"自己レスの後")</f>
        <v>1</v>
      </c>
      <c r="E109" s="6" t="s">
        <v>497</v>
      </c>
      <c r="F109" s="6" t="s">
        <v>853</v>
      </c>
      <c r="G109" s="6" t="s">
        <v>501</v>
      </c>
      <c r="K109" s="6" t="str">
        <f>IF(テーブル2[[#This Row],[言われた回数]]&gt;2,"多数派","少数派")</f>
        <v>少数派</v>
      </c>
      <c r="Q109" s="6">
        <f>COUNTIFS(全コメントデータ!C:C,テーブル2[[#This Row],[ポケモン]],全コメントデータ!G:G,"&lt;&gt;"&amp;"")</f>
        <v>1</v>
      </c>
    </row>
    <row r="110" spans="1:17">
      <c r="A110" s="6" t="s">
        <v>771</v>
      </c>
      <c r="B110" s="6">
        <f>COUNTIFS(全コメントデータ!C:C,テーブル2[[#This Row],[ポケモン]],全コメントデータ!D:D,"&lt;&gt;"&amp;"自己レス")</f>
        <v>1</v>
      </c>
      <c r="C110" s="7">
        <f>COUNTIFS(全コメントデータ!C:C,テーブル2[[#This Row],[ポケモン]],全コメントデータ!D:D,"自己レスの前")</f>
        <v>0</v>
      </c>
      <c r="D110" s="7">
        <f>COUNTIFS(全コメントデータ!C:C,テーブル2[[#This Row],[ポケモン]],全コメントデータ!D:D,"自己レスの後")</f>
        <v>1</v>
      </c>
      <c r="E110" s="6" t="s">
        <v>549</v>
      </c>
      <c r="F110" s="6" t="s">
        <v>853</v>
      </c>
      <c r="G110" s="6" t="s">
        <v>501</v>
      </c>
      <c r="K110" s="6" t="str">
        <f>IF(テーブル2[[#This Row],[言われた回数]]&gt;2,"多数派","少数派")</f>
        <v>少数派</v>
      </c>
      <c r="Q110" s="6">
        <f>COUNTIFS(全コメントデータ!C:C,テーブル2[[#This Row],[ポケモン]],全コメントデータ!G:G,"&lt;&gt;"&amp;"")</f>
        <v>1</v>
      </c>
    </row>
    <row r="111" spans="1:17">
      <c r="A111" s="6" t="s">
        <v>644</v>
      </c>
      <c r="B111" s="6">
        <f>COUNTIFS(全コメントデータ!C:C,テーブル2[[#This Row],[ポケモン]],全コメントデータ!D:D,"&lt;&gt;"&amp;"自己レス")</f>
        <v>1</v>
      </c>
      <c r="C111" s="7">
        <f>COUNTIFS(全コメントデータ!C:C,テーブル2[[#This Row],[ポケモン]],全コメントデータ!D:D,"自己レスの前")</f>
        <v>0</v>
      </c>
      <c r="D111" s="7">
        <f>COUNTIFS(全コメントデータ!C:C,テーブル2[[#This Row],[ポケモン]],全コメントデータ!D:D,"自己レスの後")</f>
        <v>1</v>
      </c>
      <c r="E111" s="6" t="s">
        <v>549</v>
      </c>
      <c r="F111" s="6" t="s">
        <v>853</v>
      </c>
      <c r="G111" s="6" t="s">
        <v>785</v>
      </c>
      <c r="H111" s="6" t="s">
        <v>573</v>
      </c>
      <c r="K111" s="6" t="str">
        <f>IF(テーブル2[[#This Row],[言われた回数]]&gt;2,"多数派","少数派")</f>
        <v>少数派</v>
      </c>
      <c r="Q111" s="6">
        <f>COUNTIFS(全コメントデータ!C:C,テーブル2[[#This Row],[ポケモン]],全コメントデータ!G:G,"&lt;&gt;"&amp;"")</f>
        <v>1</v>
      </c>
    </row>
    <row r="112" spans="1:17">
      <c r="A112" s="6" t="s">
        <v>774</v>
      </c>
      <c r="B112" s="6">
        <f>COUNTIFS(全コメントデータ!C:C,テーブル2[[#This Row],[ポケモン]],全コメントデータ!D:D,"&lt;&gt;"&amp;"自己レス")</f>
        <v>1</v>
      </c>
      <c r="C112" s="7">
        <f>COUNTIFS(全コメントデータ!C:C,テーブル2[[#This Row],[ポケモン]],全コメントデータ!D:D,"自己レスの前")</f>
        <v>0</v>
      </c>
      <c r="D112" s="7">
        <f>COUNTIFS(全コメントデータ!C:C,テーブル2[[#This Row],[ポケモン]],全コメントデータ!D:D,"自己レスの後")</f>
        <v>1</v>
      </c>
      <c r="E112" s="6" t="s">
        <v>549</v>
      </c>
      <c r="F112" s="6" t="s">
        <v>853</v>
      </c>
      <c r="G112" s="6" t="s">
        <v>572</v>
      </c>
      <c r="K112" s="6" t="str">
        <f>IF(テーブル2[[#This Row],[言われた回数]]&gt;2,"多数派","少数派")</f>
        <v>少数派</v>
      </c>
      <c r="Q112" s="6">
        <f>COUNTIFS(全コメントデータ!C:C,テーブル2[[#This Row],[ポケモン]],全コメントデータ!G:G,"&lt;&gt;"&amp;"")</f>
        <v>1</v>
      </c>
    </row>
    <row r="113" spans="1:17">
      <c r="A113" s="6" t="s">
        <v>775</v>
      </c>
      <c r="B113" s="6">
        <f>COUNTIFS(全コメントデータ!C:C,テーブル2[[#This Row],[ポケモン]],全コメントデータ!D:D,"&lt;&gt;"&amp;"自己レス")</f>
        <v>1</v>
      </c>
      <c r="C113" s="7">
        <f>COUNTIFS(全コメントデータ!C:C,テーブル2[[#This Row],[ポケモン]],全コメントデータ!D:D,"自己レスの前")</f>
        <v>0</v>
      </c>
      <c r="D113" s="7">
        <f>COUNTIFS(全コメントデータ!C:C,テーブル2[[#This Row],[ポケモン]],全コメントデータ!D:D,"自己レスの後")</f>
        <v>1</v>
      </c>
      <c r="E113" s="6" t="s">
        <v>549</v>
      </c>
      <c r="F113" s="6" t="s">
        <v>853</v>
      </c>
      <c r="G113" s="6" t="s">
        <v>786</v>
      </c>
      <c r="K113" s="6" t="str">
        <f>IF(テーブル2[[#This Row],[言われた回数]]&gt;2,"多数派","少数派")</f>
        <v>少数派</v>
      </c>
      <c r="Q113" s="6">
        <f>COUNTIFS(全コメントデータ!C:C,テーブル2[[#This Row],[ポケモン]],全コメントデータ!G:G,"&lt;&gt;"&amp;"")</f>
        <v>1</v>
      </c>
    </row>
    <row r="114" spans="1:17">
      <c r="A114" s="6" t="s">
        <v>776</v>
      </c>
      <c r="B114" s="6">
        <f>COUNTIFS(全コメントデータ!C:C,テーブル2[[#This Row],[ポケモン]],全コメントデータ!D:D,"&lt;&gt;"&amp;"自己レス")</f>
        <v>1</v>
      </c>
      <c r="C114" s="7">
        <f>COUNTIFS(全コメントデータ!C:C,テーブル2[[#This Row],[ポケモン]],全コメントデータ!D:D,"自己レスの前")</f>
        <v>0</v>
      </c>
      <c r="D114" s="7">
        <f>COUNTIFS(全コメントデータ!C:C,テーブル2[[#This Row],[ポケモン]],全コメントデータ!D:D,"自己レスの後")</f>
        <v>1</v>
      </c>
      <c r="E114" s="6" t="s">
        <v>516</v>
      </c>
      <c r="F114" s="6" t="s">
        <v>853</v>
      </c>
      <c r="G114" s="6" t="s">
        <v>784</v>
      </c>
      <c r="H114" s="6" t="s">
        <v>781</v>
      </c>
      <c r="K114" s="6" t="str">
        <f>IF(テーブル2[[#This Row],[言われた回数]]&gt;2,"多数派","少数派")</f>
        <v>少数派</v>
      </c>
      <c r="Q114" s="6">
        <f>COUNTIFS(全コメントデータ!C:C,テーブル2[[#This Row],[ポケモン]],全コメントデータ!G:G,"&lt;&gt;"&amp;"")</f>
        <v>1</v>
      </c>
    </row>
    <row r="115" spans="1:17">
      <c r="A115" s="6" t="s">
        <v>648</v>
      </c>
      <c r="B115" s="6">
        <f>COUNTIFS(全コメントデータ!C:C,テーブル2[[#This Row],[ポケモン]],全コメントデータ!D:D,"&lt;&gt;"&amp;"自己レス")</f>
        <v>1</v>
      </c>
      <c r="C115" s="7">
        <f>COUNTIFS(全コメントデータ!C:C,テーブル2[[#This Row],[ポケモン]],全コメントデータ!D:D,"自己レスの前")</f>
        <v>0</v>
      </c>
      <c r="D115" s="7">
        <f>COUNTIFS(全コメントデータ!C:C,テーブル2[[#This Row],[ポケモン]],全コメントデータ!D:D,"自己レスの後")</f>
        <v>1</v>
      </c>
      <c r="E115" s="6" t="s">
        <v>549</v>
      </c>
      <c r="F115" s="6" t="s">
        <v>852</v>
      </c>
      <c r="G115" s="6" t="s">
        <v>783</v>
      </c>
      <c r="H115" s="6" t="s">
        <v>650</v>
      </c>
      <c r="K115" s="6" t="str">
        <f>IF(テーブル2[[#This Row],[言われた回数]]&gt;2,"多数派","少数派")</f>
        <v>少数派</v>
      </c>
      <c r="Q115" s="6">
        <f>COUNTIFS(全コメントデータ!C:C,テーブル2[[#This Row],[ポケモン]],全コメントデータ!G:G,"&lt;&gt;"&amp;"")</f>
        <v>1</v>
      </c>
    </row>
    <row r="116" spans="1:17">
      <c r="A116" s="6" t="s">
        <v>680</v>
      </c>
      <c r="B116" s="6">
        <f>COUNTIFS(全コメントデータ!C:C,テーブル2[[#This Row],[ポケモン]],全コメントデータ!D:D,"&lt;&gt;"&amp;"自己レス")</f>
        <v>1</v>
      </c>
      <c r="C116" s="7">
        <f>COUNTIFS(全コメントデータ!C:C,テーブル2[[#This Row],[ポケモン]],全コメントデータ!D:D,"自己レスの前")</f>
        <v>0</v>
      </c>
      <c r="D116" s="7">
        <f>COUNTIFS(全コメントデータ!C:C,テーブル2[[#This Row],[ポケモン]],全コメントデータ!D:D,"自己レスの後")</f>
        <v>1</v>
      </c>
      <c r="E116" s="6" t="s">
        <v>480</v>
      </c>
      <c r="F116" s="6" t="s">
        <v>852</v>
      </c>
      <c r="G116" s="6" t="s">
        <v>586</v>
      </c>
      <c r="H116" s="6" t="s">
        <v>504</v>
      </c>
      <c r="K116" s="6" t="str">
        <f>IF(テーブル2[[#This Row],[言われた回数]]&gt;2,"多数派","少数派")</f>
        <v>少数派</v>
      </c>
      <c r="Q116" s="6">
        <f>COUNTIFS(全コメントデータ!C:C,テーブル2[[#This Row],[ポケモン]],全コメントデータ!G:G,"&lt;&gt;"&amp;"")</f>
        <v>1</v>
      </c>
    </row>
    <row r="117" spans="1:17">
      <c r="A117" s="6" t="s">
        <v>702</v>
      </c>
      <c r="B117" s="6">
        <f>COUNTIFS(全コメントデータ!C:C,テーブル2[[#This Row],[ポケモン]],全コメントデータ!D:D,"&lt;&gt;"&amp;"自己レス")</f>
        <v>1</v>
      </c>
      <c r="C117" s="7">
        <f>COUNTIFS(全コメントデータ!C:C,テーブル2[[#This Row],[ポケモン]],全コメントデータ!D:D,"自己レスの前")</f>
        <v>0</v>
      </c>
      <c r="D117" s="7">
        <f>COUNTIFS(全コメントデータ!C:C,テーブル2[[#This Row],[ポケモン]],全コメントデータ!D:D,"自己レスの後")</f>
        <v>1</v>
      </c>
      <c r="E117" s="6" t="s">
        <v>480</v>
      </c>
      <c r="F117" s="6" t="s">
        <v>852</v>
      </c>
      <c r="G117" s="6" t="s">
        <v>572</v>
      </c>
      <c r="H117" s="6" t="s">
        <v>504</v>
      </c>
      <c r="K117" s="6" t="str">
        <f>IF(テーブル2[[#This Row],[言われた回数]]&gt;2,"多数派","少数派")</f>
        <v>少数派</v>
      </c>
      <c r="Q117" s="6">
        <f>COUNTIFS(全コメントデータ!C:C,テーブル2[[#This Row],[ポケモン]],全コメントデータ!G:G,"&lt;&gt;"&amp;"")</f>
        <v>1</v>
      </c>
    </row>
    <row r="118" spans="1:17">
      <c r="A118" s="6" t="s">
        <v>703</v>
      </c>
      <c r="B118" s="6">
        <f>COUNTIFS(全コメントデータ!C:C,テーブル2[[#This Row],[ポケモン]],全コメントデータ!D:D,"&lt;&gt;"&amp;"自己レス")</f>
        <v>1</v>
      </c>
      <c r="C118" s="7">
        <f>COUNTIFS(全コメントデータ!C:C,テーブル2[[#This Row],[ポケモン]],全コメントデータ!D:D,"自己レスの前")</f>
        <v>0</v>
      </c>
      <c r="D118" s="7">
        <f>COUNTIFS(全コメントデータ!C:C,テーブル2[[#This Row],[ポケモン]],全コメントデータ!D:D,"自己レスの後")</f>
        <v>1</v>
      </c>
      <c r="E118" s="6" t="s">
        <v>480</v>
      </c>
      <c r="F118" s="6" t="s">
        <v>852</v>
      </c>
      <c r="G118" s="6" t="s">
        <v>781</v>
      </c>
      <c r="H118" s="6" t="s">
        <v>504</v>
      </c>
      <c r="K118" s="6" t="str">
        <f>IF(テーブル2[[#This Row],[言われた回数]]&gt;2,"多数派","少数派")</f>
        <v>少数派</v>
      </c>
      <c r="Q118" s="6">
        <f>COUNTIFS(全コメントデータ!C:C,テーブル2[[#This Row],[ポケモン]],全コメントデータ!G:G,"&lt;&gt;"&amp;"")</f>
        <v>1</v>
      </c>
    </row>
    <row r="119" spans="1:17">
      <c r="A119" s="6" t="s">
        <v>705</v>
      </c>
      <c r="B119" s="6">
        <f>COUNTIFS(全コメントデータ!C:C,テーブル2[[#This Row],[ポケモン]],全コメントデータ!D:D,"&lt;&gt;"&amp;"自己レス")</f>
        <v>1</v>
      </c>
      <c r="C119" s="7">
        <f>COUNTIFS(全コメントデータ!C:C,テーブル2[[#This Row],[ポケモン]],全コメントデータ!D:D,"自己レスの前")</f>
        <v>0</v>
      </c>
      <c r="D119" s="7">
        <f>COUNTIFS(全コメントデータ!C:C,テーブル2[[#This Row],[ポケモン]],全コメントデータ!D:D,"自己レスの後")</f>
        <v>1</v>
      </c>
      <c r="E119" s="6" t="s">
        <v>480</v>
      </c>
      <c r="F119" s="6" t="s">
        <v>852</v>
      </c>
      <c r="G119" s="6" t="s">
        <v>650</v>
      </c>
      <c r="K119" s="6" t="str">
        <f>IF(テーブル2[[#This Row],[言われた回数]]&gt;2,"多数派","少数派")</f>
        <v>少数派</v>
      </c>
      <c r="Q119" s="6">
        <f>COUNTIFS(全コメントデータ!C:C,テーブル2[[#This Row],[ポケモン]],全コメントデータ!G:G,"&lt;&gt;"&amp;"")</f>
        <v>1</v>
      </c>
    </row>
    <row r="120" spans="1:17">
      <c r="A120" s="6" t="s">
        <v>707</v>
      </c>
      <c r="B120" s="6">
        <f>COUNTIFS(全コメントデータ!C:C,テーブル2[[#This Row],[ポケモン]],全コメントデータ!D:D,"&lt;&gt;"&amp;"自己レス")</f>
        <v>1</v>
      </c>
      <c r="C120" s="7">
        <f>COUNTIFS(全コメントデータ!C:C,テーブル2[[#This Row],[ポケモン]],全コメントデータ!D:D,"自己レスの前")</f>
        <v>0</v>
      </c>
      <c r="D120" s="7">
        <f>COUNTIFS(全コメントデータ!C:C,テーブル2[[#This Row],[ポケモン]],全コメントデータ!D:D,"自己レスの後")</f>
        <v>1</v>
      </c>
      <c r="E120" s="6" t="s">
        <v>480</v>
      </c>
      <c r="F120" s="6" t="s">
        <v>852</v>
      </c>
      <c r="G120" s="6" t="s">
        <v>786</v>
      </c>
      <c r="H120" s="6" t="s">
        <v>257</v>
      </c>
      <c r="K120" s="6" t="str">
        <f>IF(テーブル2[[#This Row],[言われた回数]]&gt;2,"多数派","少数派")</f>
        <v>少数派</v>
      </c>
      <c r="Q120" s="6">
        <f>COUNTIFS(全コメントデータ!C:C,テーブル2[[#This Row],[ポケモン]],全コメントデータ!G:G,"&lt;&gt;"&amp;"")</f>
        <v>1</v>
      </c>
    </row>
    <row r="121" spans="1:17">
      <c r="A121" s="6" t="s">
        <v>709</v>
      </c>
      <c r="B121" s="6">
        <f>COUNTIFS(全コメントデータ!C:C,テーブル2[[#This Row],[ポケモン]],全コメントデータ!D:D,"&lt;&gt;"&amp;"自己レス")</f>
        <v>1</v>
      </c>
      <c r="C121" s="7">
        <f>COUNTIFS(全コメントデータ!C:C,テーブル2[[#This Row],[ポケモン]],全コメントデータ!D:D,"自己レスの前")</f>
        <v>0</v>
      </c>
      <c r="D121" s="7">
        <f>COUNTIFS(全コメントデータ!C:C,テーブル2[[#This Row],[ポケモン]],全コメントデータ!D:D,"自己レスの後")</f>
        <v>1</v>
      </c>
      <c r="E121" s="6" t="s">
        <v>549</v>
      </c>
      <c r="F121" s="6" t="s">
        <v>852</v>
      </c>
      <c r="G121" s="6" t="s">
        <v>650</v>
      </c>
      <c r="K121" s="6" t="str">
        <f>IF(テーブル2[[#This Row],[言われた回数]]&gt;2,"多数派","少数派")</f>
        <v>少数派</v>
      </c>
      <c r="Q121" s="6">
        <f>COUNTIFS(全コメントデータ!C:C,テーブル2[[#This Row],[ポケモン]],全コメントデータ!G:G,"&lt;&gt;"&amp;"")</f>
        <v>1</v>
      </c>
    </row>
    <row r="122" spans="1:17">
      <c r="A122" s="6" t="s">
        <v>748</v>
      </c>
      <c r="B122" s="6">
        <f>COUNTIFS(全コメントデータ!C:C,テーブル2[[#This Row],[ポケモン]],全コメントデータ!D:D,"&lt;&gt;"&amp;"自己レス")</f>
        <v>1</v>
      </c>
      <c r="C122" s="7">
        <f>COUNTIFS(全コメントデータ!C:C,テーブル2[[#This Row],[ポケモン]],全コメントデータ!D:D,"自己レスの前")</f>
        <v>0</v>
      </c>
      <c r="D122" s="7">
        <f>COUNTIFS(全コメントデータ!C:C,テーブル2[[#This Row],[ポケモン]],全コメントデータ!D:D,"自己レスの後")</f>
        <v>1</v>
      </c>
      <c r="E122" s="6" t="s">
        <v>480</v>
      </c>
      <c r="F122" s="6" t="s">
        <v>852</v>
      </c>
      <c r="G122" s="6" t="s">
        <v>572</v>
      </c>
      <c r="H122" s="6" t="s">
        <v>504</v>
      </c>
      <c r="K122" s="6" t="str">
        <f>IF(テーブル2[[#This Row],[言われた回数]]&gt;2,"多数派","少数派")</f>
        <v>少数派</v>
      </c>
      <c r="Q122" s="6">
        <f>COUNTIFS(全コメントデータ!C:C,テーブル2[[#This Row],[ポケモン]],全コメントデータ!G:G,"&lt;&gt;"&amp;"")</f>
        <v>1</v>
      </c>
    </row>
    <row r="123" spans="1:17">
      <c r="A123" s="6" t="s">
        <v>750</v>
      </c>
      <c r="B123" s="6">
        <f>COUNTIFS(全コメントデータ!C:C,テーブル2[[#This Row],[ポケモン]],全コメントデータ!D:D,"&lt;&gt;"&amp;"自己レス")</f>
        <v>1</v>
      </c>
      <c r="C123" s="7">
        <f>COUNTIFS(全コメントデータ!C:C,テーブル2[[#This Row],[ポケモン]],全コメントデータ!D:D,"自己レスの前")</f>
        <v>0</v>
      </c>
      <c r="D123" s="7">
        <f>COUNTIFS(全コメントデータ!C:C,テーブル2[[#This Row],[ポケモン]],全コメントデータ!D:D,"自己レスの後")</f>
        <v>1</v>
      </c>
      <c r="E123" s="6" t="s">
        <v>480</v>
      </c>
      <c r="F123" s="6" t="s">
        <v>853</v>
      </c>
      <c r="G123" s="6" t="s">
        <v>573</v>
      </c>
      <c r="K123" s="6" t="str">
        <f>IF(テーブル2[[#This Row],[言われた回数]]&gt;2,"多数派","少数派")</f>
        <v>少数派</v>
      </c>
      <c r="Q123" s="6">
        <f>COUNTIFS(全コメントデータ!C:C,テーブル2[[#This Row],[ポケモン]],全コメントデータ!G:G,"&lt;&gt;"&amp;"")</f>
        <v>1</v>
      </c>
    </row>
    <row r="124" spans="1:17">
      <c r="A124" s="6" t="s">
        <v>822</v>
      </c>
      <c r="B124" s="6">
        <f>COUNTIFS(全コメントデータ!C:C,テーブル2[[#This Row],[ポケモン]],全コメントデータ!D:D,"&lt;&gt;"&amp;"自己レス")</f>
        <v>1</v>
      </c>
      <c r="C124" s="7">
        <f>COUNTIFS(全コメントデータ!C:C,テーブル2[[#This Row],[ポケモン]],全コメントデータ!D:D,"自己レスの前")</f>
        <v>0</v>
      </c>
      <c r="D124" s="7">
        <f>COUNTIFS(全コメントデータ!C:C,テーブル2[[#This Row],[ポケモン]],全コメントデータ!D:D,"自己レスの後")</f>
        <v>1</v>
      </c>
      <c r="E124" s="6" t="s">
        <v>540</v>
      </c>
      <c r="F124" s="6" t="s">
        <v>853</v>
      </c>
      <c r="G124" s="6" t="s">
        <v>501</v>
      </c>
      <c r="H124" s="6" t="s">
        <v>781</v>
      </c>
      <c r="K124" s="6" t="str">
        <f>IF(テーブル2[[#This Row],[言われた回数]]&gt;2,"多数派","少数派")</f>
        <v>少数派</v>
      </c>
      <c r="Q124" s="6">
        <f>COUNTIFS(全コメントデータ!C:C,テーブル2[[#This Row],[ポケモン]],全コメントデータ!G:G,"&lt;&gt;"&amp;"")</f>
        <v>1</v>
      </c>
    </row>
    <row r="125" spans="1:17">
      <c r="A125" s="6" t="s">
        <v>824</v>
      </c>
      <c r="B125" s="6">
        <f>COUNTIFS(全コメントデータ!C:C,テーブル2[[#This Row],[ポケモン]],全コメントデータ!D:D,"&lt;&gt;"&amp;"自己レス")</f>
        <v>1</v>
      </c>
      <c r="C125" s="7">
        <f>COUNTIFS(全コメントデータ!C:C,テーブル2[[#This Row],[ポケモン]],全コメントデータ!D:D,"自己レスの前")</f>
        <v>0</v>
      </c>
      <c r="D125" s="7">
        <f>COUNTIFS(全コメントデータ!C:C,テーブル2[[#This Row],[ポケモン]],全コメントデータ!D:D,"自己レスの後")</f>
        <v>1</v>
      </c>
      <c r="E125" s="6" t="s">
        <v>480</v>
      </c>
      <c r="F125" s="6" t="s">
        <v>852</v>
      </c>
      <c r="G125" s="6" t="s">
        <v>501</v>
      </c>
      <c r="K125" s="6" t="str">
        <f>IF(テーブル2[[#This Row],[言われた回数]]&gt;2,"多数派","少数派")</f>
        <v>少数派</v>
      </c>
      <c r="Q125" s="6">
        <f>COUNTIFS(全コメントデータ!C:C,テーブル2[[#This Row],[ポケモン]],全コメントデータ!G:G,"&lt;&gt;"&amp;"")</f>
        <v>1</v>
      </c>
    </row>
    <row r="126" spans="1:17">
      <c r="A126" s="6" t="s">
        <v>148</v>
      </c>
      <c r="B126" s="6">
        <f>COUNTIFS(全コメントデータ!C:C,テーブル2[[#This Row],[ポケモン]],全コメントデータ!D:D,"&lt;&gt;"&amp;"自己レス")</f>
        <v>3</v>
      </c>
      <c r="C126" s="7">
        <f>COUNTIFS(全コメントデータ!C:C,テーブル2[[#This Row],[ポケモン]],全コメントデータ!D:D,"自己レスの前")</f>
        <v>1</v>
      </c>
      <c r="D126" s="7">
        <f>COUNTIFS(全コメントデータ!C:C,テーブル2[[#This Row],[ポケモン]],全コメントデータ!D:D,"自己レスの後")</f>
        <v>2</v>
      </c>
      <c r="E126" s="6" t="s">
        <v>540</v>
      </c>
      <c r="F126" s="6" t="s">
        <v>513</v>
      </c>
      <c r="G126" s="6" t="s">
        <v>558</v>
      </c>
      <c r="H126" s="6" t="s">
        <v>564</v>
      </c>
      <c r="J126" s="6" t="s">
        <v>802</v>
      </c>
      <c r="K126" s="6" t="str">
        <f>IF(テーブル2[[#This Row],[言われた回数]]&gt;2,"多数派","少数派")</f>
        <v>多数派</v>
      </c>
      <c r="Q126" s="6">
        <f>COUNTIFS(全コメントデータ!C:C,テーブル2[[#This Row],[ポケモン]],全コメントデータ!G:G,"&lt;&gt;"&amp;"")</f>
        <v>0</v>
      </c>
    </row>
    <row r="127" spans="1:17">
      <c r="A127" s="6" t="s">
        <v>423</v>
      </c>
      <c r="B127" s="6">
        <f>COUNTIFS(全コメントデータ!C:C,テーブル2[[#This Row],[ポケモン]],全コメントデータ!D:D,"&lt;&gt;"&amp;"自己レス")</f>
        <v>3</v>
      </c>
      <c r="C127" s="7">
        <f>COUNTIFS(全コメントデータ!C:C,テーブル2[[#This Row],[ポケモン]],全コメントデータ!D:D,"自己レスの前")</f>
        <v>1</v>
      </c>
      <c r="D127" s="7">
        <f>COUNTIFS(全コメントデータ!C:C,テーブル2[[#This Row],[ポケモン]],全コメントデータ!D:D,"自己レスの後")</f>
        <v>2</v>
      </c>
      <c r="E127" s="6" t="s">
        <v>480</v>
      </c>
      <c r="F127" s="6" t="s">
        <v>514</v>
      </c>
      <c r="G127" s="6" t="s">
        <v>560</v>
      </c>
      <c r="H127" s="6" t="s">
        <v>562</v>
      </c>
      <c r="K127" s="6" t="str">
        <f>IF(テーブル2[[#This Row],[言われた回数]]&gt;2,"多数派","少数派")</f>
        <v>多数派</v>
      </c>
      <c r="Q127" s="6">
        <f>COUNTIFS(全コメントデータ!C:C,テーブル2[[#This Row],[ポケモン]],全コメントデータ!G:G,"&lt;&gt;"&amp;"")</f>
        <v>0</v>
      </c>
    </row>
    <row r="128" spans="1:17">
      <c r="A128" s="6" t="s">
        <v>486</v>
      </c>
      <c r="B128" s="6">
        <f>COUNTIFS(全コメントデータ!C:C,テーブル2[[#This Row],[ポケモン]],全コメントデータ!D:D,"&lt;&gt;"&amp;"自己レス")</f>
        <v>3</v>
      </c>
      <c r="C128" s="7">
        <f>COUNTIFS(全コメントデータ!C:C,テーブル2[[#This Row],[ポケモン]],全コメントデータ!D:D,"自己レスの前")</f>
        <v>0</v>
      </c>
      <c r="D128" s="7">
        <f>COUNTIFS(全コメントデータ!C:C,テーブル2[[#This Row],[ポケモン]],全コメントデータ!D:D,"自己レスの後")</f>
        <v>3</v>
      </c>
      <c r="E128" s="6" t="s">
        <v>480</v>
      </c>
      <c r="F128" s="6" t="s">
        <v>852</v>
      </c>
      <c r="G128" s="6" t="s">
        <v>556</v>
      </c>
      <c r="H128" s="6">
        <v>0</v>
      </c>
      <c r="K128" s="6" t="str">
        <f>IF(テーブル2[[#This Row],[言われた回数]]&gt;2,"多数派","少数派")</f>
        <v>多数派</v>
      </c>
      <c r="Q128" s="6">
        <f>COUNTIFS(全コメントデータ!C:C,テーブル2[[#This Row],[ポケモン]],全コメントデータ!G:G,"&lt;&gt;"&amp;"")</f>
        <v>0</v>
      </c>
    </row>
    <row r="129" spans="1:17">
      <c r="A129" s="6" t="s">
        <v>522</v>
      </c>
      <c r="B129" s="6">
        <f>COUNTIFS(全コメントデータ!C:C,テーブル2[[#This Row],[ポケモン]],全コメントデータ!D:D,"&lt;&gt;"&amp;"自己レス")</f>
        <v>3</v>
      </c>
      <c r="C129" s="7">
        <f>COUNTIFS(全コメントデータ!C:C,テーブル2[[#This Row],[ポケモン]],全コメントデータ!D:D,"自己レスの前")</f>
        <v>0</v>
      </c>
      <c r="D129" s="7">
        <f>COUNTIFS(全コメントデータ!C:C,テーブル2[[#This Row],[ポケモン]],全コメントデータ!D:D,"自己レスの後")</f>
        <v>3</v>
      </c>
      <c r="E129" s="6" t="s">
        <v>549</v>
      </c>
      <c r="F129" s="6" t="s">
        <v>853</v>
      </c>
      <c r="G129" s="6" t="s">
        <v>556</v>
      </c>
      <c r="H129" s="6">
        <v>0</v>
      </c>
      <c r="K129" s="6" t="str">
        <f>IF(テーブル2[[#This Row],[言われた回数]]&gt;2,"多数派","少数派")</f>
        <v>多数派</v>
      </c>
      <c r="Q129" s="6">
        <f>COUNTIFS(全コメントデータ!C:C,テーブル2[[#This Row],[ポケモン]],全コメントデータ!G:G,"&lt;&gt;"&amp;"")</f>
        <v>0</v>
      </c>
    </row>
    <row r="130" spans="1:17">
      <c r="A130" s="6" t="s">
        <v>145</v>
      </c>
      <c r="B130" s="6">
        <f>COUNTIFS(全コメントデータ!C:C,テーブル2[[#This Row],[ポケモン]],全コメントデータ!D:D,"&lt;&gt;"&amp;"自己レス")</f>
        <v>2</v>
      </c>
      <c r="C130" s="7">
        <f>COUNTIFS(全コメントデータ!C:C,テーブル2[[#This Row],[ポケモン]],全コメントデータ!D:D,"自己レスの前")</f>
        <v>1</v>
      </c>
      <c r="D130" s="7">
        <f>COUNTIFS(全コメントデータ!C:C,テーブル2[[#This Row],[ポケモン]],全コメントデータ!D:D,"自己レスの後")</f>
        <v>1</v>
      </c>
      <c r="E130" s="6" t="s">
        <v>480</v>
      </c>
      <c r="F130" s="6" t="s">
        <v>514</v>
      </c>
      <c r="G130" s="6" t="s">
        <v>560</v>
      </c>
      <c r="H130" s="6">
        <v>0</v>
      </c>
      <c r="J130" s="6" t="s">
        <v>584</v>
      </c>
      <c r="K130" s="6" t="str">
        <f>IF(テーブル2[[#This Row],[言われた回数]]&gt;2,"多数派","少数派")</f>
        <v>少数派</v>
      </c>
      <c r="Q130" s="6">
        <f>COUNTIFS(全コメントデータ!C:C,テーブル2[[#This Row],[ポケモン]],全コメントデータ!G:G,"&lt;&gt;"&amp;"")</f>
        <v>0</v>
      </c>
    </row>
    <row r="131" spans="1:17">
      <c r="A131" s="6" t="s">
        <v>261</v>
      </c>
      <c r="B131" s="6">
        <f>COUNTIFS(全コメントデータ!C:C,テーブル2[[#This Row],[ポケモン]],全コメントデータ!D:D,"&lt;&gt;"&amp;"自己レス")</f>
        <v>2</v>
      </c>
      <c r="C131" s="7">
        <f>COUNTIFS(全コメントデータ!C:C,テーブル2[[#This Row],[ポケモン]],全コメントデータ!D:D,"自己レスの前")</f>
        <v>2</v>
      </c>
      <c r="D131" s="7">
        <f>COUNTIFS(全コメントデータ!C:C,テーブル2[[#This Row],[ポケモン]],全コメントデータ!D:D,"自己レスの後")</f>
        <v>0</v>
      </c>
      <c r="E131" s="6" t="s">
        <v>480</v>
      </c>
      <c r="F131" s="6" t="s">
        <v>514</v>
      </c>
      <c r="G131" s="6" t="s">
        <v>556</v>
      </c>
      <c r="H131" s="6">
        <v>0</v>
      </c>
      <c r="K131" s="6" t="str">
        <f>IF(テーブル2[[#This Row],[言われた回数]]&gt;2,"多数派","少数派")</f>
        <v>少数派</v>
      </c>
      <c r="Q131" s="6">
        <f>COUNTIFS(全コメントデータ!C:C,テーブル2[[#This Row],[ポケモン]],全コメントデータ!G:G,"&lt;&gt;"&amp;"")</f>
        <v>0</v>
      </c>
    </row>
    <row r="132" spans="1:17">
      <c r="A132" s="6" t="s">
        <v>84</v>
      </c>
      <c r="B132" s="6">
        <f>COUNTIFS(全コメントデータ!C:C,テーブル2[[#This Row],[ポケモン]],全コメントデータ!D:D,"&lt;&gt;"&amp;"自己レス")</f>
        <v>2</v>
      </c>
      <c r="C132" s="7">
        <f>COUNTIFS(全コメントデータ!C:C,テーブル2[[#This Row],[ポケモン]],全コメントデータ!D:D,"自己レスの前")</f>
        <v>2</v>
      </c>
      <c r="D132" s="7">
        <f>COUNTIFS(全コメントデータ!C:C,テーブル2[[#This Row],[ポケモン]],全コメントデータ!D:D,"自己レスの後")</f>
        <v>0</v>
      </c>
      <c r="E132" s="6" t="s">
        <v>518</v>
      </c>
      <c r="F132" s="6" t="s">
        <v>515</v>
      </c>
      <c r="G132" s="6" t="s">
        <v>565</v>
      </c>
      <c r="H132" s="6" t="s">
        <v>562</v>
      </c>
      <c r="K132" s="6" t="str">
        <f>IF(テーブル2[[#This Row],[言われた回数]]&gt;2,"多数派","少数派")</f>
        <v>少数派</v>
      </c>
      <c r="Q132" s="6">
        <f>COUNTIFS(全コメントデータ!C:C,テーブル2[[#This Row],[ポケモン]],全コメントデータ!G:G,"&lt;&gt;"&amp;"")</f>
        <v>0</v>
      </c>
    </row>
    <row r="133" spans="1:17">
      <c r="A133" s="6" t="s">
        <v>46</v>
      </c>
      <c r="B133" s="6">
        <f>COUNTIFS(全コメントデータ!C:C,テーブル2[[#This Row],[ポケモン]],全コメントデータ!D:D,"&lt;&gt;"&amp;"自己レス")</f>
        <v>2</v>
      </c>
      <c r="C133" s="7">
        <f>COUNTIFS(全コメントデータ!C:C,テーブル2[[#This Row],[ポケモン]],全コメントデータ!D:D,"自己レスの前")</f>
        <v>1</v>
      </c>
      <c r="D133" s="7">
        <f>COUNTIFS(全コメントデータ!C:C,テーブル2[[#This Row],[ポケモン]],全コメントデータ!D:D,"自己レスの後")</f>
        <v>1</v>
      </c>
      <c r="E133" s="6" t="s">
        <v>549</v>
      </c>
      <c r="F133" s="6" t="s">
        <v>513</v>
      </c>
      <c r="G133" s="6" t="s">
        <v>554</v>
      </c>
      <c r="H133" s="6">
        <v>0</v>
      </c>
      <c r="K133" s="6" t="str">
        <f>IF(テーブル2[[#This Row],[言われた回数]]&gt;2,"多数派","少数派")</f>
        <v>少数派</v>
      </c>
      <c r="Q133" s="6">
        <f>COUNTIFS(全コメントデータ!C:C,テーブル2[[#This Row],[ポケモン]],全コメントデータ!G:G,"&lt;&gt;"&amp;"")</f>
        <v>0</v>
      </c>
    </row>
    <row r="134" spans="1:17">
      <c r="A134" s="6" t="s">
        <v>351</v>
      </c>
      <c r="B134" s="6">
        <f>COUNTIFS(全コメントデータ!C:C,テーブル2[[#This Row],[ポケモン]],全コメントデータ!D:D,"&lt;&gt;"&amp;"自己レス")</f>
        <v>2</v>
      </c>
      <c r="C134" s="7">
        <f>COUNTIFS(全コメントデータ!C:C,テーブル2[[#This Row],[ポケモン]],全コメントデータ!D:D,"自己レスの前")</f>
        <v>1</v>
      </c>
      <c r="D134" s="7">
        <f>COUNTIFS(全コメントデータ!C:C,テーブル2[[#This Row],[ポケモン]],全コメントデータ!D:D,"自己レスの後")</f>
        <v>1</v>
      </c>
      <c r="E134" s="6" t="s">
        <v>480</v>
      </c>
      <c r="F134" s="6" t="s">
        <v>852</v>
      </c>
      <c r="G134" s="6" t="s">
        <v>550</v>
      </c>
      <c r="H134" s="6">
        <v>0</v>
      </c>
      <c r="K134" s="6" t="str">
        <f>IF(テーブル2[[#This Row],[言われた回数]]&gt;2,"多数派","少数派")</f>
        <v>少数派</v>
      </c>
      <c r="Q134" s="6">
        <f>COUNTIFS(全コメントデータ!C:C,テーブル2[[#This Row],[ポケモン]],全コメントデータ!G:G,"&lt;&gt;"&amp;"")</f>
        <v>0</v>
      </c>
    </row>
    <row r="135" spans="1:17">
      <c r="A135" s="6" t="s">
        <v>212</v>
      </c>
      <c r="B135" s="6">
        <f>COUNTIFS(全コメントデータ!C:C,テーブル2[[#This Row],[ポケモン]],全コメントデータ!D:D,"&lt;&gt;"&amp;"自己レス")</f>
        <v>2</v>
      </c>
      <c r="C135" s="7">
        <f>COUNTIFS(全コメントデータ!C:C,テーブル2[[#This Row],[ポケモン]],全コメントデータ!D:D,"自己レスの前")</f>
        <v>1</v>
      </c>
      <c r="D135" s="7">
        <f>COUNTIFS(全コメントデータ!C:C,テーブル2[[#This Row],[ポケモン]],全コメントデータ!D:D,"自己レスの後")</f>
        <v>1</v>
      </c>
      <c r="E135" s="6" t="s">
        <v>480</v>
      </c>
      <c r="F135" s="6" t="s">
        <v>852</v>
      </c>
      <c r="G135" s="6" t="s">
        <v>558</v>
      </c>
      <c r="H135" s="6">
        <v>0</v>
      </c>
      <c r="K135" s="6" t="str">
        <f>IF(テーブル2[[#This Row],[言われた回数]]&gt;2,"多数派","少数派")</f>
        <v>少数派</v>
      </c>
      <c r="Q135" s="6">
        <f>COUNTIFS(全コメントデータ!C:C,テーブル2[[#This Row],[ポケモン]],全コメントデータ!G:G,"&lt;&gt;"&amp;"")</f>
        <v>0</v>
      </c>
    </row>
    <row r="136" spans="1:17">
      <c r="A136" s="6" t="s">
        <v>237</v>
      </c>
      <c r="B136" s="6">
        <f>COUNTIFS(全コメントデータ!C:C,テーブル2[[#This Row],[ポケモン]],全コメントデータ!D:D,"&lt;&gt;"&amp;"自己レス")</f>
        <v>2</v>
      </c>
      <c r="C136" s="7">
        <f>COUNTIFS(全コメントデータ!C:C,テーブル2[[#This Row],[ポケモン]],全コメントデータ!D:D,"自己レスの前")</f>
        <v>1</v>
      </c>
      <c r="D136" s="7">
        <f>COUNTIFS(全コメントデータ!C:C,テーブル2[[#This Row],[ポケモン]],全コメントデータ!D:D,"自己レスの後")</f>
        <v>1</v>
      </c>
      <c r="E136" s="6" t="s">
        <v>549</v>
      </c>
      <c r="F136" s="6" t="s">
        <v>853</v>
      </c>
      <c r="G136" s="6" t="s">
        <v>551</v>
      </c>
      <c r="H136" s="6">
        <v>0</v>
      </c>
      <c r="K136" s="6" t="str">
        <f>IF(テーブル2[[#This Row],[言われた回数]]&gt;2,"多数派","少数派")</f>
        <v>少数派</v>
      </c>
      <c r="Q136" s="6">
        <f>COUNTIFS(全コメントデータ!C:C,テーブル2[[#This Row],[ポケモン]],全コメントデータ!G:G,"&lt;&gt;"&amp;"")</f>
        <v>0</v>
      </c>
    </row>
    <row r="137" spans="1:17">
      <c r="A137" s="6" t="s">
        <v>265</v>
      </c>
      <c r="B137" s="6">
        <f>COUNTIFS(全コメントデータ!C:C,テーブル2[[#This Row],[ポケモン]],全コメントデータ!D:D,"&lt;&gt;"&amp;"自己レス")</f>
        <v>2</v>
      </c>
      <c r="C137" s="7">
        <f>COUNTIFS(全コメントデータ!C:C,テーブル2[[#This Row],[ポケモン]],全コメントデータ!D:D,"自己レスの前")</f>
        <v>1</v>
      </c>
      <c r="D137" s="7">
        <f>COUNTIFS(全コメントデータ!C:C,テーブル2[[#This Row],[ポケモン]],全コメントデータ!D:D,"自己レスの後")</f>
        <v>1</v>
      </c>
      <c r="E137" s="6" t="s">
        <v>480</v>
      </c>
      <c r="F137" s="6" t="s">
        <v>852</v>
      </c>
      <c r="G137" s="6" t="s">
        <v>550</v>
      </c>
      <c r="H137" s="6" t="s">
        <v>551</v>
      </c>
      <c r="K137" s="6" t="str">
        <f>IF(テーブル2[[#This Row],[言われた回数]]&gt;2,"多数派","少数派")</f>
        <v>少数派</v>
      </c>
      <c r="Q137" s="6">
        <f>COUNTIFS(全コメントデータ!C:C,テーブル2[[#This Row],[ポケモン]],全コメントデータ!G:G,"&lt;&gt;"&amp;"")</f>
        <v>0</v>
      </c>
    </row>
    <row r="138" spans="1:17">
      <c r="A138" s="6" t="s">
        <v>320</v>
      </c>
      <c r="B138" s="6">
        <f>COUNTIFS(全コメントデータ!C:C,テーブル2[[#This Row],[ポケモン]],全コメントデータ!D:D,"&lt;&gt;"&amp;"自己レス")</f>
        <v>2</v>
      </c>
      <c r="C138" s="7">
        <f>COUNTIFS(全コメントデータ!C:C,テーブル2[[#This Row],[ポケモン]],全コメントデータ!D:D,"自己レスの前")</f>
        <v>1</v>
      </c>
      <c r="D138" s="7">
        <f>COUNTIFS(全コメントデータ!C:C,テーブル2[[#This Row],[ポケモン]],全コメントデータ!D:D,"自己レスの後")</f>
        <v>1</v>
      </c>
      <c r="E138" s="6" t="s">
        <v>497</v>
      </c>
      <c r="F138" s="6" t="s">
        <v>853</v>
      </c>
      <c r="G138" s="6" t="s">
        <v>564</v>
      </c>
      <c r="H138" s="6" t="s">
        <v>562</v>
      </c>
      <c r="K138" s="6" t="str">
        <f>IF(テーブル2[[#This Row],[言われた回数]]&gt;2,"多数派","少数派")</f>
        <v>少数派</v>
      </c>
      <c r="Q138" s="6">
        <f>COUNTIFS(全コメントデータ!C:C,テーブル2[[#This Row],[ポケモン]],全コメントデータ!G:G,"&lt;&gt;"&amp;"")</f>
        <v>0</v>
      </c>
    </row>
    <row r="139" spans="1:17">
      <c r="A139" s="6" t="s">
        <v>353</v>
      </c>
      <c r="B139" s="6">
        <f>COUNTIFS(全コメントデータ!C:C,テーブル2[[#This Row],[ポケモン]],全コメントデータ!D:D,"&lt;&gt;"&amp;"自己レス")</f>
        <v>2</v>
      </c>
      <c r="C139" s="7">
        <f>COUNTIFS(全コメントデータ!C:C,テーブル2[[#This Row],[ポケモン]],全コメントデータ!D:D,"自己レスの前")</f>
        <v>1</v>
      </c>
      <c r="D139" s="7">
        <f>COUNTIFS(全コメントデータ!C:C,テーブル2[[#This Row],[ポケモン]],全コメントデータ!D:D,"自己レスの後")</f>
        <v>1</v>
      </c>
      <c r="E139" s="6" t="s">
        <v>540</v>
      </c>
      <c r="F139" s="6" t="s">
        <v>853</v>
      </c>
      <c r="G139" s="6" t="s">
        <v>563</v>
      </c>
      <c r="H139" s="6">
        <v>0</v>
      </c>
      <c r="K139" s="6" t="str">
        <f>IF(テーブル2[[#This Row],[言われた回数]]&gt;2,"多数派","少数派")</f>
        <v>少数派</v>
      </c>
      <c r="Q139" s="6">
        <f>COUNTIFS(全コメントデータ!C:C,テーブル2[[#This Row],[ポケモン]],全コメントデータ!G:G,"&lt;&gt;"&amp;"")</f>
        <v>0</v>
      </c>
    </row>
    <row r="140" spans="1:17">
      <c r="A140" s="6" t="s">
        <v>457</v>
      </c>
      <c r="B140" s="6">
        <f>COUNTIFS(全コメントデータ!C:C,テーブル2[[#This Row],[ポケモン]],全コメントデータ!D:D,"&lt;&gt;"&amp;"自己レス")</f>
        <v>2</v>
      </c>
      <c r="C140" s="7">
        <f>COUNTIFS(全コメントデータ!C:C,テーブル2[[#This Row],[ポケモン]],全コメントデータ!D:D,"自己レスの前")</f>
        <v>0</v>
      </c>
      <c r="D140" s="7">
        <f>COUNTIFS(全コメントデータ!C:C,テーブル2[[#This Row],[ポケモン]],全コメントデータ!D:D,"自己レスの後")</f>
        <v>2</v>
      </c>
      <c r="E140" s="6" t="s">
        <v>480</v>
      </c>
      <c r="F140" s="6" t="s">
        <v>514</v>
      </c>
      <c r="G140" s="6" t="s">
        <v>558</v>
      </c>
      <c r="H140" s="6">
        <v>0</v>
      </c>
      <c r="K140" s="6" t="str">
        <f>IF(テーブル2[[#This Row],[言われた回数]]&gt;2,"多数派","少数派")</f>
        <v>少数派</v>
      </c>
      <c r="Q140" s="6">
        <f>COUNTIFS(全コメントデータ!C:C,テーブル2[[#This Row],[ポケモン]],全コメントデータ!G:G,"&lt;&gt;"&amp;"")</f>
        <v>0</v>
      </c>
    </row>
    <row r="141" spans="1:17">
      <c r="A141" s="6" t="s">
        <v>430</v>
      </c>
      <c r="B141" s="6">
        <f>COUNTIFS(全コメントデータ!C:C,テーブル2[[#This Row],[ポケモン]],全コメントデータ!D:D,"&lt;&gt;"&amp;"自己レス")</f>
        <v>2</v>
      </c>
      <c r="C141" s="7">
        <f>COUNTIFS(全コメントデータ!C:C,テーブル2[[#This Row],[ポケモン]],全コメントデータ!D:D,"自己レスの前")</f>
        <v>0</v>
      </c>
      <c r="D141" s="7">
        <f>COUNTIFS(全コメントデータ!C:C,テーブル2[[#This Row],[ポケモン]],全コメントデータ!D:D,"自己レスの後")</f>
        <v>2</v>
      </c>
      <c r="E141" s="6" t="s">
        <v>518</v>
      </c>
      <c r="F141" s="6" t="s">
        <v>853</v>
      </c>
      <c r="G141" s="6" t="s">
        <v>562</v>
      </c>
      <c r="H141" s="6">
        <v>0</v>
      </c>
      <c r="K141" s="6" t="str">
        <f>IF(テーブル2[[#This Row],[言われた回数]]&gt;2,"多数派","少数派")</f>
        <v>少数派</v>
      </c>
      <c r="Q141" s="6">
        <f>COUNTIFS(全コメントデータ!C:C,テーブル2[[#This Row],[ポケモン]],全コメントデータ!G:G,"&lt;&gt;"&amp;"")</f>
        <v>0</v>
      </c>
    </row>
    <row r="142" spans="1:17">
      <c r="A142" s="6" t="s">
        <v>125</v>
      </c>
      <c r="B142" s="6">
        <f>COUNTIFS(全コメントデータ!C:C,テーブル2[[#This Row],[ポケモン]],全コメントデータ!D:D,"&lt;&gt;"&amp;"自己レス")</f>
        <v>1</v>
      </c>
      <c r="C142" s="7">
        <f>COUNTIFS(全コメントデータ!C:C,テーブル2[[#This Row],[ポケモン]],全コメントデータ!D:D,"自己レスの前")</f>
        <v>1</v>
      </c>
      <c r="D142" s="7">
        <f>COUNTIFS(全コメントデータ!C:C,テーブル2[[#This Row],[ポケモン]],全コメントデータ!D:D,"自己レスの後")</f>
        <v>0</v>
      </c>
      <c r="E142" s="6" t="s">
        <v>549</v>
      </c>
      <c r="F142" s="6" t="s">
        <v>853</v>
      </c>
      <c r="G142" s="6" t="s">
        <v>556</v>
      </c>
      <c r="H142" s="6">
        <v>0</v>
      </c>
      <c r="K142" s="6" t="str">
        <f>IF(テーブル2[[#This Row],[言われた回数]]&gt;2,"多数派","少数派")</f>
        <v>少数派</v>
      </c>
      <c r="Q142" s="6">
        <f>COUNTIFS(全コメントデータ!C:C,テーブル2[[#This Row],[ポケモン]],全コメントデータ!G:G,"&lt;&gt;"&amp;"")</f>
        <v>0</v>
      </c>
    </row>
    <row r="143" spans="1:17">
      <c r="A143" s="6" t="s">
        <v>35</v>
      </c>
      <c r="B143" s="6">
        <f>COUNTIFS(全コメントデータ!C:C,テーブル2[[#This Row],[ポケモン]],全コメントデータ!D:D,"&lt;&gt;"&amp;"自己レス")</f>
        <v>1</v>
      </c>
      <c r="C143" s="7">
        <f>COUNTIFS(全コメントデータ!C:C,テーブル2[[#This Row],[ポケモン]],全コメントデータ!D:D,"自己レスの前")</f>
        <v>1</v>
      </c>
      <c r="D143" s="7">
        <f>COUNTIFS(全コメントデータ!C:C,テーブル2[[#This Row],[ポケモン]],全コメントデータ!D:D,"自己レスの後")</f>
        <v>0</v>
      </c>
      <c r="E143" s="6" t="s">
        <v>540</v>
      </c>
      <c r="F143" s="6" t="s">
        <v>853</v>
      </c>
      <c r="G143" s="6" t="s">
        <v>554</v>
      </c>
      <c r="H143" s="6" t="s">
        <v>562</v>
      </c>
      <c r="K143" s="6" t="str">
        <f>IF(テーブル2[[#This Row],[言われた回数]]&gt;2,"多数派","少数派")</f>
        <v>少数派</v>
      </c>
      <c r="Q143" s="6">
        <f>COUNTIFS(全コメントデータ!C:C,テーブル2[[#This Row],[ポケモン]],全コメントデータ!G:G,"&lt;&gt;"&amp;"")</f>
        <v>0</v>
      </c>
    </row>
    <row r="144" spans="1:17">
      <c r="A144" s="6" t="s">
        <v>44</v>
      </c>
      <c r="B144" s="6">
        <f>COUNTIFS(全コメントデータ!C:C,テーブル2[[#This Row],[ポケモン]],全コメントデータ!D:D,"&lt;&gt;"&amp;"自己レス")</f>
        <v>1</v>
      </c>
      <c r="C144" s="7">
        <f>COUNTIFS(全コメントデータ!C:C,テーブル2[[#This Row],[ポケモン]],全コメントデータ!D:D,"自己レスの前")</f>
        <v>1</v>
      </c>
      <c r="D144" s="7">
        <f>COUNTIFS(全コメントデータ!C:C,テーブル2[[#This Row],[ポケモン]],全コメントデータ!D:D,"自己レスの後")</f>
        <v>0</v>
      </c>
      <c r="E144" s="6" t="s">
        <v>497</v>
      </c>
      <c r="F144" s="6" t="s">
        <v>853</v>
      </c>
      <c r="G144" s="6" t="s">
        <v>563</v>
      </c>
      <c r="H144" s="6" t="s">
        <v>570</v>
      </c>
      <c r="K144" s="6" t="str">
        <f>IF(テーブル2[[#This Row],[言われた回数]]&gt;2,"多数派","少数派")</f>
        <v>少数派</v>
      </c>
      <c r="Q144" s="6">
        <f>COUNTIFS(全コメントデータ!C:C,テーブル2[[#This Row],[ポケモン]],全コメントデータ!G:G,"&lt;&gt;"&amp;"")</f>
        <v>0</v>
      </c>
    </row>
    <row r="145" spans="1:17">
      <c r="A145" s="6" t="s">
        <v>50</v>
      </c>
      <c r="B145" s="6">
        <f>COUNTIFS(全コメントデータ!C:C,テーブル2[[#This Row],[ポケモン]],全コメントデータ!D:D,"&lt;&gt;"&amp;"自己レス")</f>
        <v>1</v>
      </c>
      <c r="C145" s="7">
        <f>COUNTIFS(全コメントデータ!C:C,テーブル2[[#This Row],[ポケモン]],全コメントデータ!D:D,"自己レスの前")</f>
        <v>1</v>
      </c>
      <c r="D145" s="7">
        <f>COUNTIFS(全コメントデータ!C:C,テーブル2[[#This Row],[ポケモン]],全コメントデータ!D:D,"自己レスの後")</f>
        <v>0</v>
      </c>
      <c r="E145" s="6" t="s">
        <v>517</v>
      </c>
      <c r="F145" s="6" t="s">
        <v>853</v>
      </c>
      <c r="G145" s="6" t="s">
        <v>563</v>
      </c>
      <c r="H145" s="6" t="s">
        <v>559</v>
      </c>
      <c r="K145" s="6" t="str">
        <f>IF(テーブル2[[#This Row],[言われた回数]]&gt;2,"多数派","少数派")</f>
        <v>少数派</v>
      </c>
      <c r="Q145" s="6">
        <f>COUNTIFS(全コメントデータ!C:C,テーブル2[[#This Row],[ポケモン]],全コメントデータ!G:G,"&lt;&gt;"&amp;"")</f>
        <v>0</v>
      </c>
    </row>
    <row r="146" spans="1:17">
      <c r="A146" s="6" t="s">
        <v>63</v>
      </c>
      <c r="B146" s="6">
        <f>COUNTIFS(全コメントデータ!C:C,テーブル2[[#This Row],[ポケモン]],全コメントデータ!D:D,"&lt;&gt;"&amp;"自己レス")</f>
        <v>1</v>
      </c>
      <c r="C146" s="7">
        <f>COUNTIFS(全コメントデータ!C:C,テーブル2[[#This Row],[ポケモン]],全コメントデータ!D:D,"自己レスの前")</f>
        <v>1</v>
      </c>
      <c r="D146" s="7">
        <f>COUNTIFS(全コメントデータ!C:C,テーブル2[[#This Row],[ポケモン]],全コメントデータ!D:D,"自己レスの後")</f>
        <v>0</v>
      </c>
      <c r="E146" s="6" t="s">
        <v>549</v>
      </c>
      <c r="F146" s="6" t="s">
        <v>852</v>
      </c>
      <c r="G146" s="6" t="s">
        <v>551</v>
      </c>
      <c r="H146" s="6" t="s">
        <v>560</v>
      </c>
      <c r="K146" s="6" t="str">
        <f>IF(テーブル2[[#This Row],[言われた回数]]&gt;2,"多数派","少数派")</f>
        <v>少数派</v>
      </c>
      <c r="Q146" s="6">
        <f>COUNTIFS(全コメントデータ!C:C,テーブル2[[#This Row],[ポケモン]],全コメントデータ!G:G,"&lt;&gt;"&amp;"")</f>
        <v>0</v>
      </c>
    </row>
    <row r="147" spans="1:17">
      <c r="A147" s="6" t="s">
        <v>106</v>
      </c>
      <c r="B147" s="6">
        <f>COUNTIFS(全コメントデータ!C:C,テーブル2[[#This Row],[ポケモン]],全コメントデータ!D:D,"&lt;&gt;"&amp;"自己レス")</f>
        <v>1</v>
      </c>
      <c r="C147" s="7">
        <f>COUNTIFS(全コメントデータ!C:C,テーブル2[[#This Row],[ポケモン]],全コメントデータ!D:D,"自己レスの前")</f>
        <v>1</v>
      </c>
      <c r="D147" s="7">
        <f>COUNTIFS(全コメントデータ!C:C,テーブル2[[#This Row],[ポケモン]],全コメントデータ!D:D,"自己レスの後")</f>
        <v>0</v>
      </c>
      <c r="E147" s="6" t="s">
        <v>480</v>
      </c>
      <c r="F147" s="6" t="s">
        <v>852</v>
      </c>
      <c r="G147" s="6" t="s">
        <v>555</v>
      </c>
      <c r="H147" s="6" t="s">
        <v>553</v>
      </c>
      <c r="K147" s="6" t="str">
        <f>IF(テーブル2[[#This Row],[言われた回数]]&gt;2,"多数派","少数派")</f>
        <v>少数派</v>
      </c>
      <c r="Q147" s="6">
        <f>COUNTIFS(全コメントデータ!C:C,テーブル2[[#This Row],[ポケモン]],全コメントデータ!G:G,"&lt;&gt;"&amp;"")</f>
        <v>0</v>
      </c>
    </row>
    <row r="148" spans="1:17">
      <c r="A148" s="6" t="s">
        <v>110</v>
      </c>
      <c r="B148" s="6">
        <f>COUNTIFS(全コメントデータ!C:C,テーブル2[[#This Row],[ポケモン]],全コメントデータ!D:D,"&lt;&gt;"&amp;"自己レス")</f>
        <v>1</v>
      </c>
      <c r="C148" s="7">
        <f>COUNTIFS(全コメントデータ!C:C,テーブル2[[#This Row],[ポケモン]],全コメントデータ!D:D,"自己レスの前")</f>
        <v>1</v>
      </c>
      <c r="D148" s="7">
        <f>COUNTIFS(全コメントデータ!C:C,テーブル2[[#This Row],[ポケモン]],全コメントデータ!D:D,"自己レスの後")</f>
        <v>0</v>
      </c>
      <c r="E148" s="6" t="s">
        <v>549</v>
      </c>
      <c r="F148" s="6" t="s">
        <v>853</v>
      </c>
      <c r="G148" s="6" t="s">
        <v>561</v>
      </c>
      <c r="H148" s="6">
        <v>0</v>
      </c>
      <c r="K148" s="6" t="str">
        <f>IF(テーブル2[[#This Row],[言われた回数]]&gt;2,"多数派","少数派")</f>
        <v>少数派</v>
      </c>
      <c r="Q148" s="6">
        <f>COUNTIFS(全コメントデータ!C:C,テーブル2[[#This Row],[ポケモン]],全コメントデータ!G:G,"&lt;&gt;"&amp;"")</f>
        <v>0</v>
      </c>
    </row>
    <row r="149" spans="1:17">
      <c r="A149" s="6" t="s">
        <v>127</v>
      </c>
      <c r="B149" s="6">
        <f>COUNTIFS(全コメントデータ!C:C,テーブル2[[#This Row],[ポケモン]],全コメントデータ!D:D,"&lt;&gt;"&amp;"自己レス")</f>
        <v>1</v>
      </c>
      <c r="C149" s="7">
        <f>COUNTIFS(全コメントデータ!C:C,テーブル2[[#This Row],[ポケモン]],全コメントデータ!D:D,"自己レスの前")</f>
        <v>1</v>
      </c>
      <c r="D149" s="7">
        <f>COUNTIFS(全コメントデータ!C:C,テーブル2[[#This Row],[ポケモン]],全コメントデータ!D:D,"自己レスの後")</f>
        <v>0</v>
      </c>
      <c r="E149" s="6" t="s">
        <v>480</v>
      </c>
      <c r="F149" s="6" t="s">
        <v>852</v>
      </c>
      <c r="G149" s="6" t="s">
        <v>562</v>
      </c>
      <c r="H149" s="6" t="s">
        <v>550</v>
      </c>
      <c r="K149" s="6" t="str">
        <f>IF(テーブル2[[#This Row],[言われた回数]]&gt;2,"多数派","少数派")</f>
        <v>少数派</v>
      </c>
      <c r="Q149" s="6">
        <f>COUNTIFS(全コメントデータ!C:C,テーブル2[[#This Row],[ポケモン]],全コメントデータ!G:G,"&lt;&gt;"&amp;"")</f>
        <v>0</v>
      </c>
    </row>
    <row r="150" spans="1:17">
      <c r="A150" s="6" t="s">
        <v>225</v>
      </c>
      <c r="B150" s="6">
        <f>COUNTIFS(全コメントデータ!C:C,テーブル2[[#This Row],[ポケモン]],全コメントデータ!D:D,"&lt;&gt;"&amp;"自己レス")</f>
        <v>1</v>
      </c>
      <c r="C150" s="7">
        <f>COUNTIFS(全コメントデータ!C:C,テーブル2[[#This Row],[ポケモン]],全コメントデータ!D:D,"自己レスの前")</f>
        <v>1</v>
      </c>
      <c r="D150" s="7">
        <f>COUNTIFS(全コメントデータ!C:C,テーブル2[[#This Row],[ポケモン]],全コメントデータ!D:D,"自己レスの後")</f>
        <v>0</v>
      </c>
      <c r="E150" s="6" t="s">
        <v>549</v>
      </c>
      <c r="F150" s="6" t="s">
        <v>852</v>
      </c>
      <c r="G150" s="6" t="s">
        <v>556</v>
      </c>
      <c r="H150" s="6">
        <v>0</v>
      </c>
      <c r="K150" s="6" t="str">
        <f>IF(テーブル2[[#This Row],[言われた回数]]&gt;2,"多数派","少数派")</f>
        <v>少数派</v>
      </c>
      <c r="Q150" s="6">
        <f>COUNTIFS(全コメントデータ!C:C,テーブル2[[#This Row],[ポケモン]],全コメントデータ!G:G,"&lt;&gt;"&amp;"")</f>
        <v>0</v>
      </c>
    </row>
    <row r="151" spans="1:17">
      <c r="A151" s="6" t="s">
        <v>150</v>
      </c>
      <c r="B151" s="6">
        <f>COUNTIFS(全コメントデータ!C:C,テーブル2[[#This Row],[ポケモン]],全コメントデータ!D:D,"&lt;&gt;"&amp;"自己レス")</f>
        <v>1</v>
      </c>
      <c r="C151" s="7">
        <f>COUNTIFS(全コメントデータ!C:C,テーブル2[[#This Row],[ポケモン]],全コメントデータ!D:D,"自己レスの前")</f>
        <v>1</v>
      </c>
      <c r="D151" s="7">
        <f>COUNTIFS(全コメントデータ!C:C,テーブル2[[#This Row],[ポケモン]],全コメントデータ!D:D,"自己レスの後")</f>
        <v>0</v>
      </c>
      <c r="E151" s="6" t="s">
        <v>480</v>
      </c>
      <c r="F151" s="6" t="s">
        <v>852</v>
      </c>
      <c r="G151" s="6" t="s">
        <v>256</v>
      </c>
      <c r="H151" s="6" t="s">
        <v>553</v>
      </c>
      <c r="K151" s="6" t="str">
        <f>IF(テーブル2[[#This Row],[言われた回数]]&gt;2,"多数派","少数派")</f>
        <v>少数派</v>
      </c>
      <c r="Q151" s="6">
        <f>COUNTIFS(全コメントデータ!C:C,テーブル2[[#This Row],[ポケモン]],全コメントデータ!G:G,"&lt;&gt;"&amp;"")</f>
        <v>0</v>
      </c>
    </row>
    <row r="152" spans="1:17">
      <c r="A152" s="6" t="s">
        <v>155</v>
      </c>
      <c r="B152" s="6">
        <f>COUNTIFS(全コメントデータ!C:C,テーブル2[[#This Row],[ポケモン]],全コメントデータ!D:D,"&lt;&gt;"&amp;"自己レス")</f>
        <v>1</v>
      </c>
      <c r="C152" s="7">
        <f>COUNTIFS(全コメントデータ!C:C,テーブル2[[#This Row],[ポケモン]],全コメントデータ!D:D,"自己レスの前")</f>
        <v>1</v>
      </c>
      <c r="D152" s="7">
        <f>COUNTIFS(全コメントデータ!C:C,テーブル2[[#This Row],[ポケモン]],全コメントデータ!D:D,"自己レスの後")</f>
        <v>0</v>
      </c>
      <c r="E152" s="6" t="s">
        <v>518</v>
      </c>
      <c r="F152" s="6" t="s">
        <v>853</v>
      </c>
      <c r="G152" s="6" t="s">
        <v>551</v>
      </c>
      <c r="H152" s="6">
        <v>0</v>
      </c>
      <c r="K152" s="6" t="str">
        <f>IF(テーブル2[[#This Row],[言われた回数]]&gt;2,"多数派","少数派")</f>
        <v>少数派</v>
      </c>
      <c r="Q152" s="6">
        <f>COUNTIFS(全コメントデータ!C:C,テーブル2[[#This Row],[ポケモン]],全コメントデータ!G:G,"&lt;&gt;"&amp;"")</f>
        <v>0</v>
      </c>
    </row>
    <row r="153" spans="1:17">
      <c r="A153" s="6" t="s">
        <v>158</v>
      </c>
      <c r="B153" s="6">
        <f>COUNTIFS(全コメントデータ!C:C,テーブル2[[#This Row],[ポケモン]],全コメントデータ!D:D,"&lt;&gt;"&amp;"自己レス")</f>
        <v>1</v>
      </c>
      <c r="C153" s="7">
        <f>COUNTIFS(全コメントデータ!C:C,テーブル2[[#This Row],[ポケモン]],全コメントデータ!D:D,"自己レスの前")</f>
        <v>1</v>
      </c>
      <c r="D153" s="7">
        <f>COUNTIFS(全コメントデータ!C:C,テーブル2[[#This Row],[ポケモン]],全コメントデータ!D:D,"自己レスの後")</f>
        <v>0</v>
      </c>
      <c r="E153" s="6" t="s">
        <v>480</v>
      </c>
      <c r="F153" s="6" t="s">
        <v>852</v>
      </c>
      <c r="G153" s="6" t="s">
        <v>256</v>
      </c>
      <c r="H153" s="6">
        <v>0</v>
      </c>
      <c r="K153" s="6" t="str">
        <f>IF(テーブル2[[#This Row],[言われた回数]]&gt;2,"多数派","少数派")</f>
        <v>少数派</v>
      </c>
      <c r="Q153" s="6">
        <f>COUNTIFS(全コメントデータ!C:C,テーブル2[[#This Row],[ポケモン]],全コメントデータ!G:G,"&lt;&gt;"&amp;"")</f>
        <v>0</v>
      </c>
    </row>
    <row r="154" spans="1:17">
      <c r="A154" s="6" t="s">
        <v>164</v>
      </c>
      <c r="B154" s="6">
        <f>COUNTIFS(全コメントデータ!C:C,テーブル2[[#This Row],[ポケモン]],全コメントデータ!D:D,"&lt;&gt;"&amp;"自己レス")</f>
        <v>1</v>
      </c>
      <c r="C154" s="7">
        <f>COUNTIFS(全コメントデータ!C:C,テーブル2[[#This Row],[ポケモン]],全コメントデータ!D:D,"自己レスの前")</f>
        <v>1</v>
      </c>
      <c r="D154" s="7">
        <f>COUNTIFS(全コメントデータ!C:C,テーブル2[[#This Row],[ポケモン]],全コメントデータ!D:D,"自己レスの後")</f>
        <v>0</v>
      </c>
      <c r="E154" s="6" t="s">
        <v>480</v>
      </c>
      <c r="F154" s="6" t="s">
        <v>852</v>
      </c>
      <c r="G154" s="6" t="s">
        <v>558</v>
      </c>
      <c r="H154" s="6" t="s">
        <v>560</v>
      </c>
      <c r="K154" s="6" t="str">
        <f>IF(テーブル2[[#This Row],[言われた回数]]&gt;2,"多数派","少数派")</f>
        <v>少数派</v>
      </c>
      <c r="Q154" s="6">
        <f>COUNTIFS(全コメントデータ!C:C,テーブル2[[#This Row],[ポケモン]],全コメントデータ!G:G,"&lt;&gt;"&amp;"")</f>
        <v>0</v>
      </c>
    </row>
    <row r="155" spans="1:17">
      <c r="A155" s="6" t="s">
        <v>221</v>
      </c>
      <c r="B155" s="6">
        <f>COUNTIFS(全コメントデータ!C:C,テーブル2[[#This Row],[ポケモン]],全コメントデータ!D:D,"&lt;&gt;"&amp;"自己レス")</f>
        <v>1</v>
      </c>
      <c r="C155" s="7">
        <f>COUNTIFS(全コメントデータ!C:C,テーブル2[[#This Row],[ポケモン]],全コメントデータ!D:D,"自己レスの前")</f>
        <v>1</v>
      </c>
      <c r="D155" s="7">
        <f>COUNTIFS(全コメントデータ!C:C,テーブル2[[#This Row],[ポケモン]],全コメントデータ!D:D,"自己レスの後")</f>
        <v>0</v>
      </c>
      <c r="E155" s="6" t="s">
        <v>480</v>
      </c>
      <c r="F155" s="6" t="s">
        <v>852</v>
      </c>
      <c r="G155" s="6" t="s">
        <v>562</v>
      </c>
      <c r="H155" s="6">
        <v>0</v>
      </c>
      <c r="K155" s="6" t="str">
        <f>IF(テーブル2[[#This Row],[言われた回数]]&gt;2,"多数派","少数派")</f>
        <v>少数派</v>
      </c>
      <c r="Q155" s="6">
        <f>COUNTIFS(全コメントデータ!C:C,テーブル2[[#This Row],[ポケモン]],全コメントデータ!G:G,"&lt;&gt;"&amp;"")</f>
        <v>0</v>
      </c>
    </row>
    <row r="156" spans="1:17">
      <c r="A156" s="6" t="s">
        <v>227</v>
      </c>
      <c r="B156" s="6">
        <f>COUNTIFS(全コメントデータ!C:C,テーブル2[[#This Row],[ポケモン]],全コメントデータ!D:D,"&lt;&gt;"&amp;"自己レス")</f>
        <v>1</v>
      </c>
      <c r="C156" s="7">
        <f>COUNTIFS(全コメントデータ!C:C,テーブル2[[#This Row],[ポケモン]],全コメントデータ!D:D,"自己レスの前")</f>
        <v>1</v>
      </c>
      <c r="D156" s="7">
        <f>COUNTIFS(全コメントデータ!C:C,テーブル2[[#This Row],[ポケモン]],全コメントデータ!D:D,"自己レスの後")</f>
        <v>0</v>
      </c>
      <c r="E156" s="6" t="s">
        <v>480</v>
      </c>
      <c r="F156" s="6" t="s">
        <v>852</v>
      </c>
      <c r="G156" s="6" t="s">
        <v>550</v>
      </c>
      <c r="H156" s="6" t="s">
        <v>551</v>
      </c>
      <c r="K156" s="6" t="str">
        <f>IF(テーブル2[[#This Row],[言われた回数]]&gt;2,"多数派","少数派")</f>
        <v>少数派</v>
      </c>
      <c r="Q156" s="6">
        <f>COUNTIFS(全コメントデータ!C:C,テーブル2[[#This Row],[ポケモン]],全コメントデータ!G:G,"&lt;&gt;"&amp;"")</f>
        <v>0</v>
      </c>
    </row>
    <row r="157" spans="1:17">
      <c r="A157" s="6" t="s">
        <v>231</v>
      </c>
      <c r="B157" s="6">
        <f>COUNTIFS(全コメントデータ!C:C,テーブル2[[#This Row],[ポケモン]],全コメントデータ!D:D,"&lt;&gt;"&amp;"自己レス")</f>
        <v>1</v>
      </c>
      <c r="C157" s="7">
        <f>COUNTIFS(全コメントデータ!C:C,テーブル2[[#This Row],[ポケモン]],全コメントデータ!D:D,"自己レスの前")</f>
        <v>1</v>
      </c>
      <c r="D157" s="7">
        <f>COUNTIFS(全コメントデータ!C:C,テーブル2[[#This Row],[ポケモン]],全コメントデータ!D:D,"自己レスの後")</f>
        <v>0</v>
      </c>
      <c r="E157" s="6" t="s">
        <v>516</v>
      </c>
      <c r="F157" s="6" t="s">
        <v>853</v>
      </c>
      <c r="G157" s="6" t="s">
        <v>568</v>
      </c>
      <c r="H157" s="6" t="s">
        <v>559</v>
      </c>
      <c r="K157" s="6" t="str">
        <f>IF(テーブル2[[#This Row],[言われた回数]]&gt;2,"多数派","少数派")</f>
        <v>少数派</v>
      </c>
      <c r="Q157" s="6">
        <f>COUNTIFS(全コメントデータ!C:C,テーブル2[[#This Row],[ポケモン]],全コメントデータ!G:G,"&lt;&gt;"&amp;"")</f>
        <v>0</v>
      </c>
    </row>
    <row r="158" spans="1:17">
      <c r="A158" s="6" t="s">
        <v>322</v>
      </c>
      <c r="B158" s="6">
        <f>COUNTIFS(全コメントデータ!C:C,テーブル2[[#This Row],[ポケモン]],全コメントデータ!D:D,"&lt;&gt;"&amp;"自己レス")</f>
        <v>1</v>
      </c>
      <c r="C158" s="7">
        <f>COUNTIFS(全コメントデータ!C:C,テーブル2[[#This Row],[ポケモン]],全コメントデータ!D:D,"自己レスの前")</f>
        <v>1</v>
      </c>
      <c r="D158" s="7">
        <f>COUNTIFS(全コメントデータ!C:C,テーブル2[[#This Row],[ポケモン]],全コメントデータ!D:D,"自己レスの後")</f>
        <v>0</v>
      </c>
      <c r="E158" s="6" t="s">
        <v>497</v>
      </c>
      <c r="F158" s="6" t="s">
        <v>852</v>
      </c>
      <c r="G158" s="6" t="s">
        <v>560</v>
      </c>
      <c r="H158" s="6">
        <v>0</v>
      </c>
      <c r="K158" s="6" t="str">
        <f>IF(テーブル2[[#This Row],[言われた回数]]&gt;2,"多数派","少数派")</f>
        <v>少数派</v>
      </c>
      <c r="Q158" s="6">
        <f>COUNTIFS(全コメントデータ!C:C,テーブル2[[#This Row],[ポケモン]],全コメントデータ!G:G,"&lt;&gt;"&amp;"")</f>
        <v>0</v>
      </c>
    </row>
    <row r="159" spans="1:17">
      <c r="A159" s="6" t="s">
        <v>295</v>
      </c>
      <c r="B159" s="6">
        <f>COUNTIFS(全コメントデータ!C:C,テーブル2[[#This Row],[ポケモン]],全コメントデータ!D:D,"&lt;&gt;"&amp;"自己レス")</f>
        <v>1</v>
      </c>
      <c r="C159" s="7">
        <f>COUNTIFS(全コメントデータ!C:C,テーブル2[[#This Row],[ポケモン]],全コメントデータ!D:D,"自己レスの前")</f>
        <v>1</v>
      </c>
      <c r="D159" s="7">
        <f>COUNTIFS(全コメントデータ!C:C,テーブル2[[#This Row],[ポケモン]],全コメントデータ!D:D,"自己レスの後")</f>
        <v>0</v>
      </c>
      <c r="E159" s="6" t="s">
        <v>540</v>
      </c>
      <c r="F159" s="6" t="s">
        <v>853</v>
      </c>
      <c r="G159" s="6" t="s">
        <v>562</v>
      </c>
      <c r="H159" s="6">
        <v>0</v>
      </c>
      <c r="K159" s="6" t="str">
        <f>IF(テーブル2[[#This Row],[言われた回数]]&gt;2,"多数派","少数派")</f>
        <v>少数派</v>
      </c>
      <c r="Q159" s="6">
        <f>COUNTIFS(全コメントデータ!C:C,テーブル2[[#This Row],[ポケモン]],全コメントデータ!G:G,"&lt;&gt;"&amp;"")</f>
        <v>0</v>
      </c>
    </row>
    <row r="160" spans="1:17">
      <c r="A160" s="6" t="s">
        <v>308</v>
      </c>
      <c r="B160" s="6">
        <f>COUNTIFS(全コメントデータ!C:C,テーブル2[[#This Row],[ポケモン]],全コメントデータ!D:D,"&lt;&gt;"&amp;"自己レス")</f>
        <v>1</v>
      </c>
      <c r="C160" s="7">
        <f>COUNTIFS(全コメントデータ!C:C,テーブル2[[#This Row],[ポケモン]],全コメントデータ!D:D,"自己レスの前")</f>
        <v>1</v>
      </c>
      <c r="D160" s="7">
        <f>COUNTIFS(全コメントデータ!C:C,テーブル2[[#This Row],[ポケモン]],全コメントデータ!D:D,"自己レスの後")</f>
        <v>0</v>
      </c>
      <c r="E160" s="6" t="s">
        <v>540</v>
      </c>
      <c r="F160" s="6" t="s">
        <v>853</v>
      </c>
      <c r="G160" s="6" t="s">
        <v>563</v>
      </c>
      <c r="H160" s="6" t="s">
        <v>550</v>
      </c>
      <c r="K160" s="6" t="str">
        <f>IF(テーブル2[[#This Row],[言われた回数]]&gt;2,"多数派","少数派")</f>
        <v>少数派</v>
      </c>
      <c r="Q160" s="6">
        <f>COUNTIFS(全コメントデータ!C:C,テーブル2[[#This Row],[ポケモン]],全コメントデータ!G:G,"&lt;&gt;"&amp;"")</f>
        <v>0</v>
      </c>
    </row>
    <row r="161" spans="1:17">
      <c r="A161" s="6" t="s">
        <v>326</v>
      </c>
      <c r="B161" s="6">
        <f>COUNTIFS(全コメントデータ!C:C,テーブル2[[#This Row],[ポケモン]],全コメントデータ!D:D,"&lt;&gt;"&amp;"自己レス")</f>
        <v>1</v>
      </c>
      <c r="C161" s="7">
        <f>COUNTIFS(全コメントデータ!C:C,テーブル2[[#This Row],[ポケモン]],全コメントデータ!D:D,"自己レスの前")</f>
        <v>1</v>
      </c>
      <c r="D161" s="7">
        <f>COUNTIFS(全コメントデータ!C:C,テーブル2[[#This Row],[ポケモン]],全コメントデータ!D:D,"自己レスの後")</f>
        <v>0</v>
      </c>
      <c r="E161" s="6" t="s">
        <v>549</v>
      </c>
      <c r="F161" s="6" t="s">
        <v>853</v>
      </c>
      <c r="G161" s="6" t="s">
        <v>559</v>
      </c>
      <c r="H161" s="6">
        <v>0</v>
      </c>
      <c r="K161" s="6" t="str">
        <f>IF(テーブル2[[#This Row],[言われた回数]]&gt;2,"多数派","少数派")</f>
        <v>少数派</v>
      </c>
      <c r="Q161" s="6">
        <f>COUNTIFS(全コメントデータ!C:C,テーブル2[[#This Row],[ポケモン]],全コメントデータ!G:G,"&lt;&gt;"&amp;"")</f>
        <v>0</v>
      </c>
    </row>
    <row r="162" spans="1:17">
      <c r="A162" s="6" t="s">
        <v>333</v>
      </c>
      <c r="B162" s="6">
        <f>COUNTIFS(全コメントデータ!C:C,テーブル2[[#This Row],[ポケモン]],全コメントデータ!D:D,"&lt;&gt;"&amp;"自己レス")</f>
        <v>1</v>
      </c>
      <c r="C162" s="7">
        <f>COUNTIFS(全コメントデータ!C:C,テーブル2[[#This Row],[ポケモン]],全コメントデータ!D:D,"自己レスの前")</f>
        <v>1</v>
      </c>
      <c r="D162" s="7">
        <f>COUNTIFS(全コメントデータ!C:C,テーブル2[[#This Row],[ポケモン]],全コメントデータ!D:D,"自己レスの後")</f>
        <v>0</v>
      </c>
      <c r="E162" s="6" t="s">
        <v>480</v>
      </c>
      <c r="F162" s="6" t="s">
        <v>852</v>
      </c>
      <c r="G162" s="6" t="s">
        <v>564</v>
      </c>
      <c r="H162" s="6" t="s">
        <v>560</v>
      </c>
      <c r="K162" s="6" t="str">
        <f>IF(テーブル2[[#This Row],[言われた回数]]&gt;2,"多数派","少数派")</f>
        <v>少数派</v>
      </c>
      <c r="Q162" s="6">
        <f>COUNTIFS(全コメントデータ!C:C,テーブル2[[#This Row],[ポケモン]],全コメントデータ!G:G,"&lt;&gt;"&amp;"")</f>
        <v>0</v>
      </c>
    </row>
    <row r="163" spans="1:17">
      <c r="A163" s="6" t="s">
        <v>337</v>
      </c>
      <c r="B163" s="6">
        <f>COUNTIFS(全コメントデータ!C:C,テーブル2[[#This Row],[ポケモン]],全コメントデータ!D:D,"&lt;&gt;"&amp;"自己レス")</f>
        <v>1</v>
      </c>
      <c r="C163" s="7">
        <f>COUNTIFS(全コメントデータ!C:C,テーブル2[[#This Row],[ポケモン]],全コメントデータ!D:D,"自己レスの前")</f>
        <v>1</v>
      </c>
      <c r="D163" s="7">
        <f>COUNTIFS(全コメントデータ!C:C,テーブル2[[#This Row],[ポケモン]],全コメントデータ!D:D,"自己レスの後")</f>
        <v>0</v>
      </c>
      <c r="E163" s="6" t="s">
        <v>480</v>
      </c>
      <c r="F163" s="6" t="s">
        <v>852</v>
      </c>
      <c r="G163" s="6" t="s">
        <v>256</v>
      </c>
      <c r="H163" s="6">
        <v>0</v>
      </c>
      <c r="K163" s="6" t="str">
        <f>IF(テーブル2[[#This Row],[言われた回数]]&gt;2,"多数派","少数派")</f>
        <v>少数派</v>
      </c>
      <c r="Q163" s="6">
        <f>COUNTIFS(全コメントデータ!C:C,テーブル2[[#This Row],[ポケモン]],全コメントデータ!G:G,"&lt;&gt;"&amp;"")</f>
        <v>0</v>
      </c>
    </row>
    <row r="164" spans="1:17">
      <c r="A164" s="6" t="s">
        <v>339</v>
      </c>
      <c r="B164" s="6">
        <f>COUNTIFS(全コメントデータ!C:C,テーブル2[[#This Row],[ポケモン]],全コメントデータ!D:D,"&lt;&gt;"&amp;"自己レス")</f>
        <v>1</v>
      </c>
      <c r="C164" s="7">
        <f>COUNTIFS(全コメントデータ!C:C,テーブル2[[#This Row],[ポケモン]],全コメントデータ!D:D,"自己レスの前")</f>
        <v>1</v>
      </c>
      <c r="D164" s="7">
        <f>COUNTIFS(全コメントデータ!C:C,テーブル2[[#This Row],[ポケモン]],全コメントデータ!D:D,"自己レスの後")</f>
        <v>0</v>
      </c>
      <c r="E164" s="6" t="s">
        <v>480</v>
      </c>
      <c r="F164" s="6" t="s">
        <v>852</v>
      </c>
      <c r="G164" s="6" t="s">
        <v>554</v>
      </c>
      <c r="H164" s="6">
        <v>0</v>
      </c>
      <c r="K164" s="6" t="str">
        <f>IF(テーブル2[[#This Row],[言われた回数]]&gt;2,"多数派","少数派")</f>
        <v>少数派</v>
      </c>
      <c r="Q164" s="6">
        <f>COUNTIFS(全コメントデータ!C:C,テーブル2[[#This Row],[ポケモン]],全コメントデータ!G:G,"&lt;&gt;"&amp;"")</f>
        <v>0</v>
      </c>
    </row>
    <row r="165" spans="1:17">
      <c r="A165" s="6" t="s">
        <v>357</v>
      </c>
      <c r="B165" s="6">
        <f>COUNTIFS(全コメントデータ!C:C,テーブル2[[#This Row],[ポケモン]],全コメントデータ!D:D,"&lt;&gt;"&amp;"自己レス")</f>
        <v>1</v>
      </c>
      <c r="C165" s="7">
        <f>COUNTIFS(全コメントデータ!C:C,テーブル2[[#This Row],[ポケモン]],全コメントデータ!D:D,"自己レスの前")</f>
        <v>1</v>
      </c>
      <c r="D165" s="7">
        <f>COUNTIFS(全コメントデータ!C:C,テーブル2[[#This Row],[ポケモン]],全コメントデータ!D:D,"自己レスの後")</f>
        <v>0</v>
      </c>
      <c r="E165" s="6" t="s">
        <v>517</v>
      </c>
      <c r="F165" s="6" t="s">
        <v>853</v>
      </c>
      <c r="G165" s="6" t="s">
        <v>562</v>
      </c>
      <c r="H165" s="6">
        <v>0</v>
      </c>
      <c r="K165" s="6" t="str">
        <f>IF(テーブル2[[#This Row],[言われた回数]]&gt;2,"多数派","少数派")</f>
        <v>少数派</v>
      </c>
      <c r="Q165" s="6">
        <f>COUNTIFS(全コメントデータ!C:C,テーブル2[[#This Row],[ポケモン]],全コメントデータ!G:G,"&lt;&gt;"&amp;"")</f>
        <v>0</v>
      </c>
    </row>
    <row r="166" spans="1:17">
      <c r="A166" s="6" t="s">
        <v>13</v>
      </c>
      <c r="B166" s="6">
        <f>COUNTIFS(全コメントデータ!C:C,テーブル2[[#This Row],[ポケモン]],全コメントデータ!D:D,"&lt;&gt;"&amp;"自己レス")</f>
        <v>1</v>
      </c>
      <c r="C166" s="7">
        <f>COUNTIFS(全コメントデータ!C:C,テーブル2[[#This Row],[ポケモン]],全コメントデータ!D:D,"自己レスの前")</f>
        <v>1</v>
      </c>
      <c r="D166" s="7">
        <f>COUNTIFS(全コメントデータ!C:C,テーブル2[[#This Row],[ポケモン]],全コメントデータ!D:D,"自己レスの後")</f>
        <v>0</v>
      </c>
      <c r="E166" s="6" t="s">
        <v>540</v>
      </c>
      <c r="F166" s="6" t="s">
        <v>853</v>
      </c>
      <c r="G166" s="6" t="s">
        <v>554</v>
      </c>
      <c r="H166" s="6" t="s">
        <v>551</v>
      </c>
      <c r="K166" s="6" t="str">
        <f>IF(テーブル2[[#This Row],[言われた回数]]&gt;2,"多数派","少数派")</f>
        <v>少数派</v>
      </c>
      <c r="Q166" s="6">
        <f>COUNTIFS(全コメントデータ!C:C,テーブル2[[#This Row],[ポケモン]],全コメントデータ!G:G,"&lt;&gt;"&amp;"")</f>
        <v>0</v>
      </c>
    </row>
    <row r="167" spans="1:17">
      <c r="A167" s="6" t="s">
        <v>11</v>
      </c>
      <c r="B167" s="6">
        <f>COUNTIFS(全コメントデータ!C:C,テーブル2[[#This Row],[ポケモン]],全コメントデータ!D:D,"&lt;&gt;"&amp;"自己レス")</f>
        <v>1</v>
      </c>
      <c r="C167" s="7">
        <f>COUNTIFS(全コメントデータ!C:C,テーブル2[[#This Row],[ポケモン]],全コメントデータ!D:D,"自己レスの前")</f>
        <v>1</v>
      </c>
      <c r="D167" s="7">
        <f>COUNTIFS(全コメントデータ!C:C,テーブル2[[#This Row],[ポケモン]],全コメントデータ!D:D,"自己レスの後")</f>
        <v>0</v>
      </c>
      <c r="E167" s="6" t="s">
        <v>549</v>
      </c>
      <c r="F167" s="6" t="s">
        <v>852</v>
      </c>
      <c r="G167" s="6" t="s">
        <v>554</v>
      </c>
      <c r="H167" s="6">
        <v>0</v>
      </c>
      <c r="K167" s="6" t="str">
        <f>IF(テーブル2[[#This Row],[言われた回数]]&gt;2,"多数派","少数派")</f>
        <v>少数派</v>
      </c>
      <c r="Q167" s="6">
        <f>COUNTIFS(全コメントデータ!C:C,テーブル2[[#This Row],[ポケモン]],全コメントデータ!G:G,"&lt;&gt;"&amp;"")</f>
        <v>0</v>
      </c>
    </row>
    <row r="168" spans="1:17">
      <c r="A168" s="6" t="s">
        <v>462</v>
      </c>
      <c r="B168" s="6">
        <f>COUNTIFS(全コメントデータ!C:C,テーブル2[[#This Row],[ポケモン]],全コメントデータ!D:D,"&lt;&gt;"&amp;"自己レス")</f>
        <v>1</v>
      </c>
      <c r="C168" s="7">
        <f>COUNTIFS(全コメントデータ!C:C,テーブル2[[#This Row],[ポケモン]],全コメントデータ!D:D,"自己レスの前")</f>
        <v>1</v>
      </c>
      <c r="D168" s="7">
        <f>COUNTIFS(全コメントデータ!C:C,テーブル2[[#This Row],[ポケモン]],全コメントデータ!D:D,"自己レスの後")</f>
        <v>0</v>
      </c>
      <c r="E168" s="6" t="s">
        <v>480</v>
      </c>
      <c r="F168" s="6" t="s">
        <v>852</v>
      </c>
      <c r="G168" s="6" t="s">
        <v>550</v>
      </c>
      <c r="H168" s="6">
        <v>0</v>
      </c>
      <c r="K168" s="6" t="str">
        <f>IF(テーブル2[[#This Row],[言われた回数]]&gt;2,"多数派","少数派")</f>
        <v>少数派</v>
      </c>
      <c r="Q168" s="6">
        <f>COUNTIFS(全コメントデータ!C:C,テーブル2[[#This Row],[ポケモン]],全コメントデータ!G:G,"&lt;&gt;"&amp;"")</f>
        <v>0</v>
      </c>
    </row>
    <row r="169" spans="1:17">
      <c r="A169" s="6" t="s">
        <v>407</v>
      </c>
      <c r="B169" s="6">
        <f>COUNTIFS(全コメントデータ!C:C,テーブル2[[#This Row],[ポケモン]],全コメントデータ!D:D,"&lt;&gt;"&amp;"自己レス")</f>
        <v>1</v>
      </c>
      <c r="C169" s="7">
        <f>COUNTIFS(全コメントデータ!C:C,テーブル2[[#This Row],[ポケモン]],全コメントデータ!D:D,"自己レスの前")</f>
        <v>0</v>
      </c>
      <c r="D169" s="7">
        <f>COUNTIFS(全コメントデータ!C:C,テーブル2[[#This Row],[ポケモン]],全コメントデータ!D:D,"自己レスの後")</f>
        <v>1</v>
      </c>
      <c r="E169" s="6" t="s">
        <v>549</v>
      </c>
      <c r="F169" s="6" t="s">
        <v>853</v>
      </c>
      <c r="G169" s="6" t="s">
        <v>554</v>
      </c>
      <c r="H169" s="6" t="s">
        <v>553</v>
      </c>
      <c r="K169" s="6" t="str">
        <f>IF(テーブル2[[#This Row],[言われた回数]]&gt;2,"多数派","少数派")</f>
        <v>少数派</v>
      </c>
      <c r="Q169" s="6">
        <f>COUNTIFS(全コメントデータ!C:C,テーブル2[[#This Row],[ポケモン]],全コメントデータ!G:G,"&lt;&gt;"&amp;"")</f>
        <v>0</v>
      </c>
    </row>
    <row r="170" spans="1:17">
      <c r="A170" s="6" t="s">
        <v>409</v>
      </c>
      <c r="B170" s="6">
        <f>COUNTIFS(全コメントデータ!C:C,テーブル2[[#This Row],[ポケモン]],全コメントデータ!D:D,"&lt;&gt;"&amp;"自己レス")</f>
        <v>1</v>
      </c>
      <c r="C170" s="7">
        <f>COUNTIFS(全コメントデータ!C:C,テーブル2[[#This Row],[ポケモン]],全コメントデータ!D:D,"自己レスの前")</f>
        <v>0</v>
      </c>
      <c r="D170" s="7">
        <f>COUNTIFS(全コメントデータ!C:C,テーブル2[[#This Row],[ポケモン]],全コメントデータ!D:D,"自己レスの後")</f>
        <v>1</v>
      </c>
      <c r="E170" s="6" t="s">
        <v>518</v>
      </c>
      <c r="F170" s="6" t="s">
        <v>853</v>
      </c>
      <c r="G170" s="6" t="s">
        <v>554</v>
      </c>
      <c r="H170" s="6">
        <v>0</v>
      </c>
      <c r="K170" s="6" t="str">
        <f>IF(テーブル2[[#This Row],[言われた回数]]&gt;2,"多数派","少数派")</f>
        <v>少数派</v>
      </c>
      <c r="Q170" s="6">
        <f>COUNTIFS(全コメントデータ!C:C,テーブル2[[#This Row],[ポケモン]],全コメントデータ!G:G,"&lt;&gt;"&amp;"")</f>
        <v>0</v>
      </c>
    </row>
    <row r="171" spans="1:17">
      <c r="A171" s="6" t="s">
        <v>413</v>
      </c>
      <c r="B171" s="6">
        <f>COUNTIFS(全コメントデータ!C:C,テーブル2[[#This Row],[ポケモン]],全コメントデータ!D:D,"&lt;&gt;"&amp;"自己レス")</f>
        <v>1</v>
      </c>
      <c r="C171" s="7">
        <f>COUNTIFS(全コメントデータ!C:C,テーブル2[[#This Row],[ポケモン]],全コメントデータ!D:D,"自己レスの前")</f>
        <v>0</v>
      </c>
      <c r="D171" s="7">
        <f>COUNTIFS(全コメントデータ!C:C,テーブル2[[#This Row],[ポケモン]],全コメントデータ!D:D,"自己レスの後")</f>
        <v>1</v>
      </c>
      <c r="E171" s="6" t="s">
        <v>505</v>
      </c>
      <c r="F171" s="6" t="s">
        <v>853</v>
      </c>
      <c r="G171" s="6" t="s">
        <v>256</v>
      </c>
      <c r="H171" s="6" t="s">
        <v>570</v>
      </c>
      <c r="K171" s="6" t="str">
        <f>IF(テーブル2[[#This Row],[言われた回数]]&gt;2,"多数派","少数派")</f>
        <v>少数派</v>
      </c>
      <c r="Q171" s="6">
        <f>COUNTIFS(全コメントデータ!C:C,テーブル2[[#This Row],[ポケモン]],全コメントデータ!G:G,"&lt;&gt;"&amp;"")</f>
        <v>0</v>
      </c>
    </row>
    <row r="172" spans="1:17">
      <c r="A172" s="6" t="s">
        <v>434</v>
      </c>
      <c r="B172" s="6">
        <f>COUNTIFS(全コメントデータ!C:C,テーブル2[[#This Row],[ポケモン]],全コメントデータ!D:D,"&lt;&gt;"&amp;"自己レス")</f>
        <v>1</v>
      </c>
      <c r="C172" s="7">
        <f>COUNTIFS(全コメントデータ!C:C,テーブル2[[#This Row],[ポケモン]],全コメントデータ!D:D,"自己レスの前")</f>
        <v>0</v>
      </c>
      <c r="D172" s="7">
        <f>COUNTIFS(全コメントデータ!C:C,テーブル2[[#This Row],[ポケモン]],全コメントデータ!D:D,"自己レスの後")</f>
        <v>1</v>
      </c>
      <c r="E172" s="6" t="s">
        <v>549</v>
      </c>
      <c r="F172" s="6" t="s">
        <v>853</v>
      </c>
      <c r="G172" s="6" t="s">
        <v>558</v>
      </c>
      <c r="H172" s="6">
        <v>0</v>
      </c>
      <c r="K172" s="6" t="str">
        <f>IF(テーブル2[[#This Row],[言われた回数]]&gt;2,"多数派","少数派")</f>
        <v>少数派</v>
      </c>
      <c r="Q172" s="6">
        <f>COUNTIFS(全コメントデータ!C:C,テーブル2[[#This Row],[ポケモン]],全コメントデータ!G:G,"&lt;&gt;"&amp;"")</f>
        <v>0</v>
      </c>
    </row>
    <row r="173" spans="1:17">
      <c r="A173" s="6" t="s">
        <v>438</v>
      </c>
      <c r="B173" s="6">
        <f>COUNTIFS(全コメントデータ!C:C,テーブル2[[#This Row],[ポケモン]],全コメントデータ!D:D,"&lt;&gt;"&amp;"自己レス")</f>
        <v>1</v>
      </c>
      <c r="C173" s="7">
        <f>COUNTIFS(全コメントデータ!C:C,テーブル2[[#This Row],[ポケモン]],全コメントデータ!D:D,"自己レスの前")</f>
        <v>0</v>
      </c>
      <c r="D173" s="7">
        <f>COUNTIFS(全コメントデータ!C:C,テーブル2[[#This Row],[ポケモン]],全コメントデータ!D:D,"自己レスの後")</f>
        <v>1</v>
      </c>
      <c r="E173" s="6" t="s">
        <v>518</v>
      </c>
      <c r="F173" s="6" t="s">
        <v>853</v>
      </c>
      <c r="G173" s="6" t="s">
        <v>551</v>
      </c>
      <c r="H173" s="6">
        <v>0</v>
      </c>
      <c r="K173" s="6" t="str">
        <f>IF(テーブル2[[#This Row],[言われた回数]]&gt;2,"多数派","少数派")</f>
        <v>少数派</v>
      </c>
      <c r="Q173" s="6">
        <f>COUNTIFS(全コメントデータ!C:C,テーブル2[[#This Row],[ポケモン]],全コメントデータ!G:G,"&lt;&gt;"&amp;"")</f>
        <v>0</v>
      </c>
    </row>
    <row r="174" spans="1:17">
      <c r="A174" s="6" t="s">
        <v>442</v>
      </c>
      <c r="B174" s="6">
        <f>COUNTIFS(全コメントデータ!C:C,テーブル2[[#This Row],[ポケモン]],全コメントデータ!D:D,"&lt;&gt;"&amp;"自己レス")</f>
        <v>1</v>
      </c>
      <c r="C174" s="7">
        <f>COUNTIFS(全コメントデータ!C:C,テーブル2[[#This Row],[ポケモン]],全コメントデータ!D:D,"自己レスの前")</f>
        <v>0</v>
      </c>
      <c r="D174" s="7">
        <f>COUNTIFS(全コメントデータ!C:C,テーブル2[[#This Row],[ポケモン]],全コメントデータ!D:D,"自己レスの後")</f>
        <v>1</v>
      </c>
      <c r="E174" s="6" t="s">
        <v>540</v>
      </c>
      <c r="F174" s="6" t="s">
        <v>852</v>
      </c>
      <c r="G174" s="6" t="s">
        <v>550</v>
      </c>
      <c r="H174" s="6" t="s">
        <v>551</v>
      </c>
      <c r="K174" s="6" t="str">
        <f>IF(テーブル2[[#This Row],[言われた回数]]&gt;2,"多数派","少数派")</f>
        <v>少数派</v>
      </c>
      <c r="Q174" s="6">
        <f>COUNTIFS(全コメントデータ!C:C,テーブル2[[#This Row],[ポケモン]],全コメントデータ!G:G,"&lt;&gt;"&amp;"")</f>
        <v>0</v>
      </c>
    </row>
    <row r="175" spans="1:17">
      <c r="A175" s="6" t="s">
        <v>488</v>
      </c>
      <c r="B175" s="6">
        <f>COUNTIFS(全コメントデータ!C:C,テーブル2[[#This Row],[ポケモン]],全コメントデータ!D:D,"&lt;&gt;"&amp;"自己レス")</f>
        <v>1</v>
      </c>
      <c r="C175" s="7">
        <f>COUNTIFS(全コメントデータ!C:C,テーブル2[[#This Row],[ポケモン]],全コメントデータ!D:D,"自己レスの前")</f>
        <v>0</v>
      </c>
      <c r="D175" s="7">
        <f>COUNTIFS(全コメントデータ!C:C,テーブル2[[#This Row],[ポケモン]],全コメントデータ!D:D,"自己レスの後")</f>
        <v>1</v>
      </c>
      <c r="E175" s="6" t="s">
        <v>549</v>
      </c>
      <c r="F175" s="6" t="s">
        <v>853</v>
      </c>
      <c r="G175" s="6" t="s">
        <v>554</v>
      </c>
      <c r="H175" s="6">
        <v>0</v>
      </c>
      <c r="K175" s="6" t="str">
        <f>IF(テーブル2[[#This Row],[言われた回数]]&gt;2,"多数派","少数派")</f>
        <v>少数派</v>
      </c>
      <c r="Q175" s="6">
        <f>COUNTIFS(全コメントデータ!C:C,テーブル2[[#This Row],[ポケモン]],全コメントデータ!G:G,"&lt;&gt;"&amp;"")</f>
        <v>0</v>
      </c>
    </row>
    <row r="176" spans="1:17">
      <c r="A176" s="6" t="s">
        <v>492</v>
      </c>
      <c r="B176" s="6">
        <f>COUNTIFS(全コメントデータ!C:C,テーブル2[[#This Row],[ポケモン]],全コメントデータ!D:D,"&lt;&gt;"&amp;"自己レス")</f>
        <v>1</v>
      </c>
      <c r="C176" s="7">
        <f>COUNTIFS(全コメントデータ!C:C,テーブル2[[#This Row],[ポケモン]],全コメントデータ!D:D,"自己レスの前")</f>
        <v>0</v>
      </c>
      <c r="D176" s="7">
        <f>COUNTIFS(全コメントデータ!C:C,テーブル2[[#This Row],[ポケモン]],全コメントデータ!D:D,"自己レスの後")</f>
        <v>1</v>
      </c>
      <c r="E176" s="6" t="s">
        <v>480</v>
      </c>
      <c r="F176" s="6" t="s">
        <v>853</v>
      </c>
      <c r="G176" s="6" t="s">
        <v>559</v>
      </c>
      <c r="H176" s="6">
        <v>0</v>
      </c>
      <c r="K176" s="6" t="str">
        <f>IF(テーブル2[[#This Row],[言われた回数]]&gt;2,"多数派","少数派")</f>
        <v>少数派</v>
      </c>
      <c r="Q176" s="6">
        <f>COUNTIFS(全コメントデータ!C:C,テーブル2[[#This Row],[ポケモン]],全コメントデータ!G:G,"&lt;&gt;"&amp;"")</f>
        <v>0</v>
      </c>
    </row>
    <row r="177" spans="1:17">
      <c r="A177" s="6" t="s">
        <v>525</v>
      </c>
      <c r="B177" s="6">
        <f>COUNTIFS(全コメントデータ!C:C,テーブル2[[#This Row],[ポケモン]],全コメントデータ!D:D,"&lt;&gt;"&amp;"自己レス")</f>
        <v>1</v>
      </c>
      <c r="C177" s="7">
        <f>COUNTIFS(全コメントデータ!C:C,テーブル2[[#This Row],[ポケモン]],全コメントデータ!D:D,"自己レスの前")</f>
        <v>0</v>
      </c>
      <c r="D177" s="7">
        <f>COUNTIFS(全コメントデータ!C:C,テーブル2[[#This Row],[ポケモン]],全コメントデータ!D:D,"自己レスの後")</f>
        <v>1</v>
      </c>
      <c r="E177" s="6" t="s">
        <v>549</v>
      </c>
      <c r="F177" s="6" t="s">
        <v>853</v>
      </c>
      <c r="G177" s="6" t="s">
        <v>558</v>
      </c>
      <c r="H177" s="6">
        <v>0</v>
      </c>
      <c r="K177" s="6" t="str">
        <f>IF(テーブル2[[#This Row],[言われた回数]]&gt;2,"多数派","少数派")</f>
        <v>少数派</v>
      </c>
      <c r="Q177" s="6">
        <f>COUNTIFS(全コメントデータ!C:C,テーブル2[[#This Row],[ポケモン]],全コメントデータ!G:G,"&lt;&gt;"&amp;"")</f>
        <v>0</v>
      </c>
    </row>
    <row r="178" spans="1:17">
      <c r="A178" s="6" t="s">
        <v>419</v>
      </c>
      <c r="B178" s="6">
        <f>COUNTIFS(全コメントデータ!C:C,テーブル2[[#This Row],[ポケモン]],全コメントデータ!D:D,"&lt;&gt;"&amp;"自己レス")</f>
        <v>1</v>
      </c>
      <c r="C178" s="7">
        <f>COUNTIFS(全コメントデータ!C:C,テーブル2[[#This Row],[ポケモン]],全コメントデータ!D:D,"自己レスの前")</f>
        <v>0</v>
      </c>
      <c r="D178" s="7">
        <f>COUNTIFS(全コメントデータ!C:C,テーブル2[[#This Row],[ポケモン]],全コメントデータ!D:D,"自己レスの後")</f>
        <v>1</v>
      </c>
      <c r="E178" s="6" t="s">
        <v>549</v>
      </c>
      <c r="F178" s="6" t="s">
        <v>853</v>
      </c>
      <c r="G178" s="6" t="s">
        <v>556</v>
      </c>
      <c r="H178" s="6">
        <v>0</v>
      </c>
      <c r="K178" s="6" t="str">
        <f>IF(テーブル2[[#This Row],[言われた回数]]&gt;2,"多数派","少数派")</f>
        <v>少数派</v>
      </c>
      <c r="Q178" s="6">
        <f>COUNTIFS(全コメントデータ!C:C,テーブル2[[#This Row],[ポケモン]],全コメントデータ!G:G,"&lt;&gt;"&amp;"")</f>
        <v>0</v>
      </c>
    </row>
    <row r="179" spans="1:17">
      <c r="A179" s="6" t="s">
        <v>535</v>
      </c>
      <c r="B179" s="6">
        <f>COUNTIFS(全コメントデータ!C:C,テーブル2[[#This Row],[ポケモン]],全コメントデータ!D:D,"&lt;&gt;"&amp;"自己レス")</f>
        <v>1</v>
      </c>
      <c r="C179" s="7">
        <f>COUNTIFS(全コメントデータ!C:C,テーブル2[[#This Row],[ポケモン]],全コメントデータ!D:D,"自己レスの前")</f>
        <v>0</v>
      </c>
      <c r="D179" s="7">
        <f>COUNTIFS(全コメントデータ!C:C,テーブル2[[#This Row],[ポケモン]],全コメントデータ!D:D,"自己レスの後")</f>
        <v>1</v>
      </c>
      <c r="E179" s="6" t="s">
        <v>540</v>
      </c>
      <c r="F179" s="6" t="s">
        <v>853</v>
      </c>
      <c r="G179" s="6" t="s">
        <v>556</v>
      </c>
      <c r="H179" s="6">
        <v>0</v>
      </c>
      <c r="K179" s="6" t="str">
        <f>IF(テーブル2[[#This Row],[言われた回数]]&gt;2,"多数派","少数派")</f>
        <v>少数派</v>
      </c>
      <c r="Q179" s="6">
        <f>COUNTIFS(全コメントデータ!C:C,テーブル2[[#This Row],[ポケモン]],全コメントデータ!G:G,"&lt;&gt;"&amp;"")</f>
        <v>0</v>
      </c>
    </row>
    <row r="180" spans="1:17">
      <c r="A180" s="6" t="s">
        <v>597</v>
      </c>
      <c r="B180" s="6">
        <f>COUNTIFS(全コメントデータ!C:C,テーブル2[[#This Row],[ポケモン]],全コメントデータ!D:D,"&lt;&gt;"&amp;"自己レス")</f>
        <v>1</v>
      </c>
      <c r="C180" s="7">
        <f>COUNTIFS(全コメントデータ!C:C,テーブル2[[#This Row],[ポケモン]],全コメントデータ!D:D,"自己レスの前")</f>
        <v>0</v>
      </c>
      <c r="D180" s="7">
        <f>COUNTIFS(全コメントデータ!C:C,テーブル2[[#This Row],[ポケモン]],全コメントデータ!D:D,"自己レスの後")</f>
        <v>1</v>
      </c>
      <c r="E180" s="6" t="s">
        <v>549</v>
      </c>
      <c r="F180" s="6" t="s">
        <v>852</v>
      </c>
      <c r="G180" s="6" t="s">
        <v>501</v>
      </c>
      <c r="K180" s="6" t="str">
        <f>IF(テーブル2[[#This Row],[言われた回数]]&gt;2,"多数派","少数派")</f>
        <v>少数派</v>
      </c>
      <c r="Q180" s="6">
        <f>COUNTIFS(全コメントデータ!C:C,テーブル2[[#This Row],[ポケモン]],全コメントデータ!G:G,"&lt;&gt;"&amp;"")</f>
        <v>0</v>
      </c>
    </row>
    <row r="181" spans="1:17">
      <c r="A181" s="6" t="s">
        <v>602</v>
      </c>
      <c r="B181" s="6">
        <f>COUNTIFS(全コメントデータ!C:C,テーブル2[[#This Row],[ポケモン]],全コメントデータ!D:D,"&lt;&gt;"&amp;"自己レス")</f>
        <v>1</v>
      </c>
      <c r="C181" s="7">
        <f>COUNTIFS(全コメントデータ!C:C,テーブル2[[#This Row],[ポケモン]],全コメントデータ!D:D,"自己レスの前")</f>
        <v>0</v>
      </c>
      <c r="D181" s="7">
        <f>COUNTIFS(全コメントデータ!C:C,テーブル2[[#This Row],[ポケモン]],全コメントデータ!D:D,"自己レスの後")</f>
        <v>1</v>
      </c>
      <c r="E181" s="6" t="s">
        <v>540</v>
      </c>
      <c r="F181" s="6" t="s">
        <v>853</v>
      </c>
      <c r="G181" s="6" t="s">
        <v>501</v>
      </c>
      <c r="H181" s="6" t="s">
        <v>781</v>
      </c>
      <c r="K181" s="6" t="str">
        <f>IF(テーブル2[[#This Row],[言われた回数]]&gt;2,"多数派","少数派")</f>
        <v>少数派</v>
      </c>
      <c r="Q181" s="6">
        <f>COUNTIFS(全コメントデータ!C:C,テーブル2[[#This Row],[ポケモン]],全コメントデータ!G:G,"&lt;&gt;"&amp;"")</f>
        <v>0</v>
      </c>
    </row>
    <row r="182" spans="1:17">
      <c r="A182" s="6" t="s">
        <v>756</v>
      </c>
      <c r="B182" s="6">
        <f>COUNTIFS(全コメントデータ!C:C,テーブル2[[#This Row],[ポケモン]],全コメントデータ!D:D,"&lt;&gt;"&amp;"自己レス")</f>
        <v>1</v>
      </c>
      <c r="C182" s="7">
        <f>COUNTIFS(全コメントデータ!C:C,テーブル2[[#This Row],[ポケモン]],全コメントデータ!D:D,"自己レスの前")</f>
        <v>0</v>
      </c>
      <c r="D182" s="7">
        <f>COUNTIFS(全コメントデータ!C:C,テーブル2[[#This Row],[ポケモン]],全コメントデータ!D:D,"自己レスの後")</f>
        <v>1</v>
      </c>
      <c r="E182" s="6" t="s">
        <v>540</v>
      </c>
      <c r="F182" s="6" t="s">
        <v>853</v>
      </c>
      <c r="G182" s="6" t="s">
        <v>501</v>
      </c>
      <c r="K182" s="6" t="str">
        <f>IF(テーブル2[[#This Row],[言われた回数]]&gt;2,"多数派","少数派")</f>
        <v>少数派</v>
      </c>
      <c r="Q182" s="6">
        <f>COUNTIFS(全コメントデータ!C:C,テーブル2[[#This Row],[ポケモン]],全コメントデータ!G:G,"&lt;&gt;"&amp;"")</f>
        <v>0</v>
      </c>
    </row>
    <row r="183" spans="1:17">
      <c r="A183" s="6" t="s">
        <v>757</v>
      </c>
      <c r="B183" s="6">
        <f>COUNTIFS(全コメントデータ!C:C,テーブル2[[#This Row],[ポケモン]],全コメントデータ!D:D,"&lt;&gt;"&amp;"自己レス")</f>
        <v>1</v>
      </c>
      <c r="C183" s="7">
        <f>COUNTIFS(全コメントデータ!C:C,テーブル2[[#This Row],[ポケモン]],全コメントデータ!D:D,"自己レスの前")</f>
        <v>0</v>
      </c>
      <c r="D183" s="7">
        <f>COUNTIFS(全コメントデータ!C:C,テーブル2[[#This Row],[ポケモン]],全コメントデータ!D:D,"自己レスの後")</f>
        <v>1</v>
      </c>
      <c r="E183" s="6" t="s">
        <v>540</v>
      </c>
      <c r="F183" s="6" t="s">
        <v>853</v>
      </c>
      <c r="G183" s="6" t="s">
        <v>501</v>
      </c>
      <c r="K183" s="6" t="str">
        <f>IF(テーブル2[[#This Row],[言われた回数]]&gt;2,"多数派","少数派")</f>
        <v>少数派</v>
      </c>
      <c r="Q183" s="6">
        <f>COUNTIFS(全コメントデータ!C:C,テーブル2[[#This Row],[ポケモン]],全コメントデータ!G:G,"&lt;&gt;"&amp;"")</f>
        <v>0</v>
      </c>
    </row>
    <row r="184" spans="1:17">
      <c r="A184" s="6" t="s">
        <v>758</v>
      </c>
      <c r="B184" s="6">
        <f>COUNTIFS(全コメントデータ!C:C,テーブル2[[#This Row],[ポケモン]],全コメントデータ!D:D,"&lt;&gt;"&amp;"自己レス")</f>
        <v>1</v>
      </c>
      <c r="C184" s="7">
        <f>COUNTIFS(全コメントデータ!C:C,テーブル2[[#This Row],[ポケモン]],全コメントデータ!D:D,"自己レスの前")</f>
        <v>0</v>
      </c>
      <c r="D184" s="7">
        <f>COUNTIFS(全コメントデータ!C:C,テーブル2[[#This Row],[ポケモン]],全コメントデータ!D:D,"自己レスの後")</f>
        <v>1</v>
      </c>
      <c r="E184" s="6" t="s">
        <v>540</v>
      </c>
      <c r="F184" s="6" t="s">
        <v>853</v>
      </c>
      <c r="G184" s="6" t="s">
        <v>782</v>
      </c>
      <c r="K184" s="6" t="str">
        <f>IF(テーブル2[[#This Row],[言われた回数]]&gt;2,"多数派","少数派")</f>
        <v>少数派</v>
      </c>
      <c r="Q184" s="6">
        <f>COUNTIFS(全コメントデータ!C:C,テーブル2[[#This Row],[ポケモン]],全コメントデータ!G:G,"&lt;&gt;"&amp;"")</f>
        <v>0</v>
      </c>
    </row>
    <row r="185" spans="1:17">
      <c r="A185" s="6" t="s">
        <v>759</v>
      </c>
      <c r="B185" s="6">
        <f>COUNTIFS(全コメントデータ!C:C,テーブル2[[#This Row],[ポケモン]],全コメントデータ!D:D,"&lt;&gt;"&amp;"自己レス")</f>
        <v>1</v>
      </c>
      <c r="C185" s="7">
        <f>COUNTIFS(全コメントデータ!C:C,テーブル2[[#This Row],[ポケモン]],全コメントデータ!D:D,"自己レスの前")</f>
        <v>0</v>
      </c>
      <c r="D185" s="7">
        <f>COUNTIFS(全コメントデータ!C:C,テーブル2[[#This Row],[ポケモン]],全コメントデータ!D:D,"自己レスの後")</f>
        <v>1</v>
      </c>
      <c r="E185" s="6" t="s">
        <v>540</v>
      </c>
      <c r="F185" s="6" t="s">
        <v>853</v>
      </c>
      <c r="G185" s="6" t="s">
        <v>501</v>
      </c>
      <c r="K185" s="6" t="str">
        <f>IF(テーブル2[[#This Row],[言われた回数]]&gt;2,"多数派","少数派")</f>
        <v>少数派</v>
      </c>
      <c r="Q185" s="6">
        <f>COUNTIFS(全コメントデータ!C:C,テーブル2[[#This Row],[ポケモン]],全コメントデータ!G:G,"&lt;&gt;"&amp;"")</f>
        <v>0</v>
      </c>
    </row>
    <row r="186" spans="1:17">
      <c r="A186" s="6" t="s">
        <v>637</v>
      </c>
      <c r="B186" s="6">
        <f>COUNTIFS(全コメントデータ!C:C,テーブル2[[#This Row],[ポケモン]],全コメントデータ!D:D,"&lt;&gt;"&amp;"自己レス")</f>
        <v>1</v>
      </c>
      <c r="C186" s="7">
        <f>COUNTIFS(全コメントデータ!C:C,テーブル2[[#This Row],[ポケモン]],全コメントデータ!D:D,"自己レスの前")</f>
        <v>0</v>
      </c>
      <c r="D186" s="7">
        <f>COUNTIFS(全コメントデータ!C:C,テーブル2[[#This Row],[ポケモン]],全コメントデータ!D:D,"自己レスの後")</f>
        <v>1</v>
      </c>
      <c r="E186" s="6" t="s">
        <v>497</v>
      </c>
      <c r="F186" s="6" t="s">
        <v>853</v>
      </c>
      <c r="G186" s="6" t="s">
        <v>257</v>
      </c>
      <c r="H186" s="6" t="s">
        <v>259</v>
      </c>
      <c r="K186" s="6" t="str">
        <f>IF(テーブル2[[#This Row],[言われた回数]]&gt;2,"多数派","少数派")</f>
        <v>少数派</v>
      </c>
      <c r="Q186" s="6">
        <f>COUNTIFS(全コメントデータ!C:C,テーブル2[[#This Row],[ポケモン]],全コメントデータ!G:G,"&lt;&gt;"&amp;"")</f>
        <v>0</v>
      </c>
    </row>
    <row r="187" spans="1:17">
      <c r="A187" s="6" t="s">
        <v>653</v>
      </c>
      <c r="B187" s="6">
        <f>COUNTIFS(全コメントデータ!C:C,テーブル2[[#This Row],[ポケモン]],全コメントデータ!D:D,"&lt;&gt;"&amp;"自己レス")</f>
        <v>1</v>
      </c>
      <c r="C187" s="7">
        <f>COUNTIFS(全コメントデータ!C:C,テーブル2[[#This Row],[ポケモン]],全コメントデータ!D:D,"自己レスの前")</f>
        <v>0</v>
      </c>
      <c r="D187" s="7">
        <f>COUNTIFS(全コメントデータ!C:C,テーブル2[[#This Row],[ポケモン]],全コメントデータ!D:D,"自己レスの後")</f>
        <v>1</v>
      </c>
      <c r="E187" s="6" t="s">
        <v>497</v>
      </c>
      <c r="F187" s="6" t="s">
        <v>853</v>
      </c>
      <c r="G187" s="6" t="s">
        <v>257</v>
      </c>
      <c r="H187" s="6" t="s">
        <v>787</v>
      </c>
      <c r="K187" s="6" t="str">
        <f>IF(テーブル2[[#This Row],[言われた回数]]&gt;2,"多数派","少数派")</f>
        <v>少数派</v>
      </c>
      <c r="Q187" s="6">
        <f>COUNTIFS(全コメントデータ!C:C,テーブル2[[#This Row],[ポケモン]],全コメントデータ!G:G,"&lt;&gt;"&amp;"")</f>
        <v>0</v>
      </c>
    </row>
    <row r="188" spans="1:17">
      <c r="A188" s="6" t="s">
        <v>658</v>
      </c>
      <c r="B188" s="6">
        <f>COUNTIFS(全コメントデータ!C:C,テーブル2[[#This Row],[ポケモン]],全コメントデータ!D:D,"&lt;&gt;"&amp;"自己レス")</f>
        <v>1</v>
      </c>
      <c r="C188" s="7">
        <f>COUNTIFS(全コメントデータ!C:C,テーブル2[[#This Row],[ポケモン]],全コメントデータ!D:D,"自己レスの前")</f>
        <v>0</v>
      </c>
      <c r="D188" s="7">
        <f>COUNTIFS(全コメントデータ!C:C,テーブル2[[#This Row],[ポケモン]],全コメントデータ!D:D,"自己レスの後")</f>
        <v>1</v>
      </c>
      <c r="E188" s="6" t="s">
        <v>540</v>
      </c>
      <c r="F188" s="6" t="s">
        <v>853</v>
      </c>
      <c r="G188" s="6" t="s">
        <v>259</v>
      </c>
      <c r="H188" s="6" t="s">
        <v>650</v>
      </c>
      <c r="K188" s="6" t="str">
        <f>IF(テーブル2[[#This Row],[言われた回数]]&gt;2,"多数派","少数派")</f>
        <v>少数派</v>
      </c>
      <c r="Q188" s="6">
        <f>COUNTIFS(全コメントデータ!C:C,テーブル2[[#This Row],[ポケモン]],全コメントデータ!G:G,"&lt;&gt;"&amp;"")</f>
        <v>0</v>
      </c>
    </row>
    <row r="189" spans="1:17">
      <c r="A189" s="6" t="s">
        <v>674</v>
      </c>
      <c r="B189" s="6">
        <f>COUNTIFS(全コメントデータ!C:C,テーブル2[[#This Row],[ポケモン]],全コメントデータ!D:D,"&lt;&gt;"&amp;"自己レス")</f>
        <v>1</v>
      </c>
      <c r="C189" s="7">
        <f>COUNTIFS(全コメントデータ!C:C,テーブル2[[#This Row],[ポケモン]],全コメントデータ!D:D,"自己レスの前")</f>
        <v>0</v>
      </c>
      <c r="D189" s="7">
        <f>COUNTIFS(全コメントデータ!C:C,テーブル2[[#This Row],[ポケモン]],全コメントデータ!D:D,"自己レスの後")</f>
        <v>1</v>
      </c>
      <c r="E189" s="6" t="s">
        <v>497</v>
      </c>
      <c r="F189" s="6" t="s">
        <v>852</v>
      </c>
      <c r="G189" s="6" t="s">
        <v>504</v>
      </c>
      <c r="H189" s="6" t="s">
        <v>257</v>
      </c>
      <c r="K189" s="6" t="str">
        <f>IF(テーブル2[[#This Row],[言われた回数]]&gt;2,"多数派","少数派")</f>
        <v>少数派</v>
      </c>
      <c r="Q189" s="6">
        <f>COUNTIFS(全コメントデータ!C:C,テーブル2[[#This Row],[ポケモン]],全コメントデータ!G:G,"&lt;&gt;"&amp;"")</f>
        <v>0</v>
      </c>
    </row>
    <row r="190" spans="1:17">
      <c r="A190" s="6" t="s">
        <v>683</v>
      </c>
      <c r="B190" s="6">
        <f>COUNTIFS(全コメントデータ!C:C,テーブル2[[#This Row],[ポケモン]],全コメントデータ!D:D,"&lt;&gt;"&amp;"自己レス")</f>
        <v>1</v>
      </c>
      <c r="C190" s="7">
        <f>COUNTIFS(全コメントデータ!C:C,テーブル2[[#This Row],[ポケモン]],全コメントデータ!D:D,"自己レスの前")</f>
        <v>0</v>
      </c>
      <c r="D190" s="7">
        <f>COUNTIFS(全コメントデータ!C:C,テーブル2[[#This Row],[ポケモン]],全コメントデータ!D:D,"自己レスの後")</f>
        <v>1</v>
      </c>
      <c r="E190" s="6" t="s">
        <v>497</v>
      </c>
      <c r="F190" s="6" t="s">
        <v>853</v>
      </c>
      <c r="G190" s="6" t="s">
        <v>650</v>
      </c>
      <c r="H190" s="6" t="s">
        <v>788</v>
      </c>
      <c r="K190" s="6" t="str">
        <f>IF(テーブル2[[#This Row],[言われた回数]]&gt;2,"多数派","少数派")</f>
        <v>少数派</v>
      </c>
      <c r="Q190" s="6">
        <f>COUNTIFS(全コメントデータ!C:C,テーブル2[[#This Row],[ポケモン]],全コメントデータ!G:G,"&lt;&gt;"&amp;"")</f>
        <v>0</v>
      </c>
    </row>
    <row r="191" spans="1:17">
      <c r="A191" s="6" t="s">
        <v>686</v>
      </c>
      <c r="B191" s="6">
        <f>COUNTIFS(全コメントデータ!C:C,テーブル2[[#This Row],[ポケモン]],全コメントデータ!D:D,"&lt;&gt;"&amp;"自己レス")</f>
        <v>1</v>
      </c>
      <c r="C191" s="7">
        <f>COUNTIFS(全コメントデータ!C:C,テーブル2[[#This Row],[ポケモン]],全コメントデータ!D:D,"自己レスの前")</f>
        <v>0</v>
      </c>
      <c r="D191" s="7">
        <f>COUNTIFS(全コメントデータ!C:C,テーブル2[[#This Row],[ポケモン]],全コメントデータ!D:D,"自己レスの後")</f>
        <v>1</v>
      </c>
      <c r="E191" s="6" t="s">
        <v>540</v>
      </c>
      <c r="F191" s="6" t="s">
        <v>853</v>
      </c>
      <c r="G191" s="6" t="s">
        <v>650</v>
      </c>
      <c r="K191" s="6" t="str">
        <f>IF(テーブル2[[#This Row],[言われた回数]]&gt;2,"多数派","少数派")</f>
        <v>少数派</v>
      </c>
      <c r="Q191" s="6">
        <f>COUNTIFS(全コメントデータ!C:C,テーブル2[[#This Row],[ポケモン]],全コメントデータ!G:G,"&lt;&gt;"&amp;"")</f>
        <v>0</v>
      </c>
    </row>
    <row r="192" spans="1:17">
      <c r="A192" s="6" t="s">
        <v>691</v>
      </c>
      <c r="B192" s="6">
        <f>COUNTIFS(全コメントデータ!C:C,テーブル2[[#This Row],[ポケモン]],全コメントデータ!D:D,"&lt;&gt;"&amp;"自己レス")</f>
        <v>1</v>
      </c>
      <c r="C192" s="7">
        <f>COUNTIFS(全コメントデータ!C:C,テーブル2[[#This Row],[ポケモン]],全コメントデータ!D:D,"自己レスの前")</f>
        <v>0</v>
      </c>
      <c r="D192" s="7">
        <f>COUNTIFS(全コメントデータ!C:C,テーブル2[[#This Row],[ポケモン]],全コメントデータ!D:D,"自己レスの後")</f>
        <v>1</v>
      </c>
      <c r="E192" s="6" t="s">
        <v>549</v>
      </c>
      <c r="F192" s="6" t="s">
        <v>853</v>
      </c>
      <c r="G192" s="6" t="s">
        <v>788</v>
      </c>
      <c r="K192" s="6" t="str">
        <f>IF(テーブル2[[#This Row],[言われた回数]]&gt;2,"多数派","少数派")</f>
        <v>少数派</v>
      </c>
      <c r="Q192" s="6">
        <f>COUNTIFS(全コメントデータ!C:C,テーブル2[[#This Row],[ポケモン]],全コメントデータ!G:G,"&lt;&gt;"&amp;"")</f>
        <v>0</v>
      </c>
    </row>
    <row r="193" spans="1:17">
      <c r="A193" s="6" t="s">
        <v>696</v>
      </c>
      <c r="B193" s="6">
        <f>COUNTIFS(全コメントデータ!C:C,テーブル2[[#This Row],[ポケモン]],全コメントデータ!D:D,"&lt;&gt;"&amp;"自己レス")</f>
        <v>1</v>
      </c>
      <c r="C193" s="7">
        <f>COUNTIFS(全コメントデータ!C:C,テーブル2[[#This Row],[ポケモン]],全コメントデータ!D:D,"自己レスの前")</f>
        <v>0</v>
      </c>
      <c r="D193" s="7">
        <f>COUNTIFS(全コメントデータ!C:C,テーブル2[[#This Row],[ポケモン]],全コメントデータ!D:D,"自己レスの後")</f>
        <v>1</v>
      </c>
      <c r="E193" s="6" t="s">
        <v>480</v>
      </c>
      <c r="F193" s="6" t="s">
        <v>853</v>
      </c>
      <c r="G193" s="6" t="s">
        <v>572</v>
      </c>
      <c r="K193" s="6" t="str">
        <f>IF(テーブル2[[#This Row],[言われた回数]]&gt;2,"多数派","少数派")</f>
        <v>少数派</v>
      </c>
      <c r="Q193" s="6">
        <f>COUNTIFS(全コメントデータ!C:C,テーブル2[[#This Row],[ポケモン]],全コメントデータ!G:G,"&lt;&gt;"&amp;"")</f>
        <v>0</v>
      </c>
    </row>
    <row r="194" spans="1:17">
      <c r="A194" s="6" t="s">
        <v>717</v>
      </c>
      <c r="B194" s="6">
        <f>COUNTIFS(全コメントデータ!C:C,テーブル2[[#This Row],[ポケモン]],全コメントデータ!D:D,"&lt;&gt;"&amp;"自己レス")</f>
        <v>1</v>
      </c>
      <c r="C194" s="7">
        <f>COUNTIFS(全コメントデータ!C:C,テーブル2[[#This Row],[ポケモン]],全コメントデータ!D:D,"自己レスの前")</f>
        <v>0</v>
      </c>
      <c r="D194" s="7">
        <f>COUNTIFS(全コメントデータ!C:C,テーブル2[[#This Row],[ポケモン]],全コメントデータ!D:D,"自己レスの後")</f>
        <v>1</v>
      </c>
      <c r="E194" s="6" t="s">
        <v>497</v>
      </c>
      <c r="F194" s="6" t="s">
        <v>853</v>
      </c>
      <c r="G194" s="6" t="s">
        <v>586</v>
      </c>
      <c r="H194" s="6" t="s">
        <v>788</v>
      </c>
      <c r="K194" s="6" t="str">
        <f>IF(テーブル2[[#This Row],[言われた回数]]&gt;2,"多数派","少数派")</f>
        <v>少数派</v>
      </c>
      <c r="Q194" s="6">
        <f>COUNTIFS(全コメントデータ!C:C,テーブル2[[#This Row],[ポケモン]],全コメントデータ!G:G,"&lt;&gt;"&amp;"")</f>
        <v>0</v>
      </c>
    </row>
    <row r="195" spans="1:17">
      <c r="A195" s="6" t="s">
        <v>724</v>
      </c>
      <c r="B195" s="6">
        <f>COUNTIFS(全コメントデータ!C:C,テーブル2[[#This Row],[ポケモン]],全コメントデータ!D:D,"&lt;&gt;"&amp;"自己レス")</f>
        <v>1</v>
      </c>
      <c r="C195" s="7">
        <f>COUNTIFS(全コメントデータ!C:C,テーブル2[[#This Row],[ポケモン]],全コメントデータ!D:D,"自己レスの前")</f>
        <v>0</v>
      </c>
      <c r="D195" s="7">
        <f>COUNTIFS(全コメントデータ!C:C,テーブル2[[#This Row],[ポケモン]],全コメントデータ!D:D,"自己レスの後")</f>
        <v>1</v>
      </c>
      <c r="E195" s="6" t="s">
        <v>540</v>
      </c>
      <c r="F195" s="6" t="s">
        <v>853</v>
      </c>
      <c r="G195" s="6" t="s">
        <v>785</v>
      </c>
      <c r="H195" s="6" t="s">
        <v>786</v>
      </c>
      <c r="K195" s="6" t="str">
        <f>IF(テーブル2[[#This Row],[言われた回数]]&gt;2,"多数派","少数派")</f>
        <v>少数派</v>
      </c>
      <c r="Q195" s="6">
        <f>COUNTIFS(全コメントデータ!C:C,テーブル2[[#This Row],[ポケモン]],全コメントデータ!G:G,"&lt;&gt;"&amp;"")</f>
        <v>0</v>
      </c>
    </row>
    <row r="196" spans="1:17">
      <c r="A196" s="6" t="s">
        <v>728</v>
      </c>
      <c r="B196" s="6">
        <f>COUNTIFS(全コメントデータ!C:C,テーブル2[[#This Row],[ポケモン]],全コメントデータ!D:D,"&lt;&gt;"&amp;"自己レス")</f>
        <v>1</v>
      </c>
      <c r="C196" s="7">
        <f>COUNTIFS(全コメントデータ!C:C,テーブル2[[#This Row],[ポケモン]],全コメントデータ!D:D,"自己レスの前")</f>
        <v>0</v>
      </c>
      <c r="D196" s="7">
        <f>COUNTIFS(全コメントデータ!C:C,テーブル2[[#This Row],[ポケモン]],全コメントデータ!D:D,"自己レスの後")</f>
        <v>1</v>
      </c>
      <c r="E196" s="6" t="s">
        <v>540</v>
      </c>
      <c r="F196" s="6" t="s">
        <v>853</v>
      </c>
      <c r="G196" s="6" t="s">
        <v>572</v>
      </c>
      <c r="K196" s="6" t="str">
        <f>IF(テーブル2[[#This Row],[言われた回数]]&gt;2,"多数派","少数派")</f>
        <v>少数派</v>
      </c>
      <c r="Q196" s="6">
        <f>COUNTIFS(全コメントデータ!C:C,テーブル2[[#This Row],[ポケモン]],全コメントデータ!G:G,"&lt;&gt;"&amp;"")</f>
        <v>0</v>
      </c>
    </row>
    <row r="197" spans="1:17">
      <c r="A197" s="6" t="s">
        <v>730</v>
      </c>
      <c r="B197" s="6">
        <f>COUNTIFS(全コメントデータ!C:C,テーブル2[[#This Row],[ポケモン]],全コメントデータ!D:D,"&lt;&gt;"&amp;"自己レス")</f>
        <v>1</v>
      </c>
      <c r="C197" s="7">
        <f>COUNTIFS(全コメントデータ!C:C,テーブル2[[#This Row],[ポケモン]],全コメントデータ!D:D,"自己レスの前")</f>
        <v>0</v>
      </c>
      <c r="D197" s="7">
        <f>COUNTIFS(全コメントデータ!C:C,テーブル2[[#This Row],[ポケモン]],全コメントデータ!D:D,"自己レスの後")</f>
        <v>1</v>
      </c>
      <c r="E197" s="6" t="s">
        <v>480</v>
      </c>
      <c r="F197" s="6" t="s">
        <v>852</v>
      </c>
      <c r="G197" s="6" t="s">
        <v>784</v>
      </c>
      <c r="H197" s="6" t="s">
        <v>781</v>
      </c>
      <c r="K197" s="6" t="str">
        <f>IF(テーブル2[[#This Row],[言われた回数]]&gt;2,"多数派","少数派")</f>
        <v>少数派</v>
      </c>
      <c r="Q197" s="6">
        <f>COUNTIFS(全コメントデータ!C:C,テーブル2[[#This Row],[ポケモン]],全コメントデータ!G:G,"&lt;&gt;"&amp;"")</f>
        <v>0</v>
      </c>
    </row>
    <row r="198" spans="1:17">
      <c r="A198" s="6" t="s">
        <v>734</v>
      </c>
      <c r="B198" s="6">
        <f>COUNTIFS(全コメントデータ!C:C,テーブル2[[#This Row],[ポケモン]],全コメントデータ!D:D,"&lt;&gt;"&amp;"自己レス")</f>
        <v>1</v>
      </c>
      <c r="C198" s="7">
        <f>COUNTIFS(全コメントデータ!C:C,テーブル2[[#This Row],[ポケモン]],全コメントデータ!D:D,"自己レスの前")</f>
        <v>0</v>
      </c>
      <c r="D198" s="7">
        <f>COUNTIFS(全コメントデータ!C:C,テーブル2[[#This Row],[ポケモン]],全コメントデータ!D:D,"自己レスの後")</f>
        <v>1</v>
      </c>
      <c r="E198" s="6" t="s">
        <v>480</v>
      </c>
      <c r="F198" s="6" t="s">
        <v>852</v>
      </c>
      <c r="G198" s="6" t="s">
        <v>572</v>
      </c>
      <c r="H198" s="6" t="s">
        <v>504</v>
      </c>
      <c r="K198" s="6" t="str">
        <f>IF(テーブル2[[#This Row],[言われた回数]]&gt;2,"多数派","少数派")</f>
        <v>少数派</v>
      </c>
      <c r="Q198" s="6">
        <f>COUNTIFS(全コメントデータ!C:C,テーブル2[[#This Row],[ポケモン]],全コメントデータ!G:G,"&lt;&gt;"&amp;"")</f>
        <v>0</v>
      </c>
    </row>
    <row r="199" spans="1:17">
      <c r="A199" s="6" t="s">
        <v>828</v>
      </c>
      <c r="B199" s="6">
        <f>COUNTIFS(全コメントデータ!C:C,テーブル2[[#This Row],[ポケモン]],全コメントデータ!D:D,"&lt;&gt;"&amp;"自己レス")</f>
        <v>1</v>
      </c>
      <c r="C199" s="7">
        <f>COUNTIFS(全コメントデータ!C:C,テーブル2[[#This Row],[ポケモン]],全コメントデータ!D:D,"自己レスの前")</f>
        <v>0</v>
      </c>
      <c r="D199" s="7">
        <f>COUNTIFS(全コメントデータ!C:C,テーブル2[[#This Row],[ポケモン]],全コメントデータ!D:D,"自己レスの後")</f>
        <v>1</v>
      </c>
      <c r="E199" s="6" t="s">
        <v>549</v>
      </c>
      <c r="F199" s="6" t="s">
        <v>853</v>
      </c>
      <c r="G199" s="6" t="s">
        <v>572</v>
      </c>
      <c r="H199" s="6" t="s">
        <v>785</v>
      </c>
      <c r="K199" s="6" t="str">
        <f>IF(テーブル2[[#This Row],[言われた回数]]&gt;2,"多数派","少数派")</f>
        <v>少数派</v>
      </c>
      <c r="Q199" s="6">
        <f>COUNTIFS(全コメントデータ!C:C,テーブル2[[#This Row],[ポケモン]],全コメントデータ!G:G,"&lt;&gt;"&amp;"")</f>
        <v>0</v>
      </c>
    </row>
    <row r="200" spans="1:17">
      <c r="A200" s="6" t="s">
        <v>830</v>
      </c>
      <c r="B200" s="6">
        <f>COUNTIFS(全コメントデータ!C:C,テーブル2[[#This Row],[ポケモン]],全コメントデータ!D:D,"&lt;&gt;"&amp;"自己レス")</f>
        <v>1</v>
      </c>
      <c r="C200" s="7">
        <f>COUNTIFS(全コメントデータ!C:C,テーブル2[[#This Row],[ポケモン]],全コメントデータ!D:D,"自己レスの前")</f>
        <v>0</v>
      </c>
      <c r="D200" s="7">
        <f>COUNTIFS(全コメントデータ!C:C,テーブル2[[#This Row],[ポケモン]],全コメントデータ!D:D,"自己レスの後")</f>
        <v>1</v>
      </c>
      <c r="E200" s="6" t="s">
        <v>549</v>
      </c>
      <c r="F200" s="6" t="s">
        <v>853</v>
      </c>
      <c r="G200" s="6" t="s">
        <v>572</v>
      </c>
      <c r="K200" s="6" t="str">
        <f>IF(テーブル2[[#This Row],[言われた回数]]&gt;2,"多数派","少数派")</f>
        <v>少数派</v>
      </c>
      <c r="Q200" s="6">
        <f>COUNTIFS(全コメントデータ!C:C,テーブル2[[#This Row],[ポケモン]],全コメントデータ!G:G,"&lt;&gt;"&amp;"")</f>
        <v>0</v>
      </c>
    </row>
    <row r="201" spans="1:17">
      <c r="A201" s="6" t="s">
        <v>835</v>
      </c>
      <c r="B201" s="6">
        <f>COUNTIFS(全コメントデータ!C:C,テーブル2[[#This Row],[ポケモン]],全コメントデータ!D:D,"&lt;&gt;"&amp;"自己レス")</f>
        <v>1</v>
      </c>
      <c r="C201" s="7">
        <f>COUNTIFS(全コメントデータ!C:C,テーブル2[[#This Row],[ポケモン]],全コメントデータ!D:D,"自己レスの前")</f>
        <v>0</v>
      </c>
      <c r="D201" s="7">
        <f>COUNTIFS(全コメントデータ!C:C,テーブル2[[#This Row],[ポケモン]],全コメントデータ!D:D,"自己レスの後")</f>
        <v>1</v>
      </c>
      <c r="E201" s="6" t="s">
        <v>497</v>
      </c>
      <c r="F201" s="6" t="s">
        <v>853</v>
      </c>
      <c r="G201" s="6" t="s">
        <v>586</v>
      </c>
      <c r="H201" s="6" t="s">
        <v>259</v>
      </c>
      <c r="K201" s="6" t="str">
        <f>IF(テーブル2[[#This Row],[言われた回数]]&gt;2,"多数派","少数派")</f>
        <v>少数派</v>
      </c>
      <c r="Q201" s="6">
        <f>COUNTIFS(全コメントデータ!C:C,テーブル2[[#This Row],[ポケモン]],全コメントデータ!G:G,"&lt;&gt;"&amp;"")</f>
        <v>0</v>
      </c>
    </row>
    <row r="202" spans="1:17">
      <c r="A202" s="6" t="s">
        <v>838</v>
      </c>
      <c r="B202" s="6">
        <f>COUNTIFS(全コメントデータ!C:C,テーブル2[[#This Row],[ポケモン]],全コメントデータ!D:D,"&lt;&gt;"&amp;"自己レス")</f>
        <v>1</v>
      </c>
      <c r="C202" s="7">
        <f>COUNTIFS(全コメントデータ!C:C,テーブル2[[#This Row],[ポケモン]],全コメントデータ!D:D,"自己レスの前")</f>
        <v>0</v>
      </c>
      <c r="D202" s="7">
        <f>COUNTIFS(全コメントデータ!C:C,テーブル2[[#This Row],[ポケモン]],全コメントデータ!D:D,"自己レスの後")</f>
        <v>1</v>
      </c>
      <c r="E202" s="6" t="s">
        <v>549</v>
      </c>
      <c r="F202" s="6" t="s">
        <v>853</v>
      </c>
      <c r="G202" s="6" t="s">
        <v>785</v>
      </c>
      <c r="H202" s="6" t="s">
        <v>259</v>
      </c>
      <c r="K202" s="6" t="str">
        <f>IF(テーブル2[[#This Row],[言われた回数]]&gt;2,"多数派","少数派")</f>
        <v>少数派</v>
      </c>
      <c r="Q202" s="6">
        <f>COUNTIFS(全コメントデータ!C:C,テーブル2[[#This Row],[ポケモン]],全コメントデータ!G:G,"&lt;&gt;"&amp;"")</f>
        <v>0</v>
      </c>
    </row>
    <row r="203" spans="1:17">
      <c r="A203" s="6" t="s">
        <v>851</v>
      </c>
      <c r="B203" s="6">
        <f>COUNTIFS(全コメントデータ!C:C,テーブル2[[#This Row],[ポケモン]],全コメントデータ!D:D,"&lt;&gt;"&amp;"自己レス")</f>
        <v>1</v>
      </c>
      <c r="C203" s="7">
        <f>COUNTIFS(全コメントデータ!C:C,テーブル2[[#This Row],[ポケモン]],全コメントデータ!D:D,"自己レスの前")</f>
        <v>0</v>
      </c>
      <c r="D203" s="7">
        <f>COUNTIFS(全コメントデータ!C:C,テーブル2[[#This Row],[ポケモン]],全コメントデータ!D:D,"自己レスの後")</f>
        <v>1</v>
      </c>
      <c r="E203" s="6" t="s">
        <v>540</v>
      </c>
      <c r="F203" s="6" t="s">
        <v>853</v>
      </c>
      <c r="G203" s="6" t="s">
        <v>572</v>
      </c>
      <c r="K203" s="6" t="str">
        <f>IF(テーブル2[[#This Row],[言われた回数]]&gt;2,"多数派","少数派")</f>
        <v>少数派</v>
      </c>
      <c r="Q203" s="6">
        <f>COUNTIFS(全コメントデータ!C:C,テーブル2[[#This Row],[ポケモン]],全コメントデータ!G:G,"&lt;&gt;"&amp;"")</f>
        <v>0</v>
      </c>
    </row>
    <row r="204" spans="1:17">
      <c r="A204" s="6" t="s">
        <v>391</v>
      </c>
      <c r="B204" s="6">
        <f>COUNTIFS(全コメントデータ!C:C,テーブル2[[#This Row],[ポケモン]],全コメントデータ!D:D,"&lt;&gt;"&amp;"自己レス")</f>
        <v>0</v>
      </c>
      <c r="C204" s="7">
        <f>COUNTIFS(全コメントデータ!C:C,テーブル2[[#This Row],[ポケモン]],全コメントデータ!D:D,"自己レスの前")</f>
        <v>0</v>
      </c>
      <c r="D204" s="7">
        <f>COUNTIFS(全コメントデータ!C:C,テーブル2[[#This Row],[ポケモン]],全コメントデータ!D:D,"自己レスの後")</f>
        <v>0</v>
      </c>
      <c r="E204" s="6" t="s">
        <v>480</v>
      </c>
      <c r="F204" s="6" t="s">
        <v>852</v>
      </c>
      <c r="G204" s="6" t="s">
        <v>565</v>
      </c>
      <c r="H204" s="6" t="s">
        <v>555</v>
      </c>
      <c r="K204" s="6" t="str">
        <f>IF(テーブル2[[#This Row],[言われた回数]]&gt;2,"多数派","少数派")</f>
        <v>少数派</v>
      </c>
      <c r="Q204" s="6">
        <f>COUNTIFS(全コメントデータ!C:C,テーブル2[[#This Row],[ポケモン]],全コメントデータ!G:G,"&lt;&gt;"&amp;"")</f>
        <v>0</v>
      </c>
    </row>
    <row r="205" spans="1:17">
      <c r="A205" s="6" t="s">
        <v>394</v>
      </c>
      <c r="B205" s="6">
        <f>COUNTIFS(全コメントデータ!C:C,テーブル2[[#This Row],[ポケモン]],全コメントデータ!D:D,"&lt;&gt;"&amp;"自己レス")</f>
        <v>0</v>
      </c>
      <c r="C205" s="7">
        <f>COUNTIFS(全コメントデータ!C:C,テーブル2[[#This Row],[ポケモン]],全コメントデータ!D:D,"自己レスの前")</f>
        <v>0</v>
      </c>
      <c r="D205" s="7">
        <f>COUNTIFS(全コメントデータ!C:C,テーブル2[[#This Row],[ポケモン]],全コメントデータ!D:D,"自己レスの後")</f>
        <v>0</v>
      </c>
      <c r="E205" s="6" t="s">
        <v>480</v>
      </c>
      <c r="F205" s="6" t="s">
        <v>852</v>
      </c>
      <c r="G205" s="6" t="s">
        <v>560</v>
      </c>
      <c r="H205" s="6">
        <v>0</v>
      </c>
      <c r="K205" s="6" t="str">
        <f>IF(テーブル2[[#This Row],[言われた回数]]&gt;2,"多数派","少数派")</f>
        <v>少数派</v>
      </c>
      <c r="Q205" s="6">
        <f>COUNTIFS(全コメントデータ!C:C,テーブル2[[#This Row],[ポケモン]],全コメントデータ!G:G,"&lt;&gt;"&amp;"")</f>
        <v>0</v>
      </c>
    </row>
  </sheetData>
  <phoneticPr fontId="2"/>
  <dataValidations count="1">
    <dataValidation type="list" allowBlank="1" showInputMessage="1" showErrorMessage="1" sqref="F2:F205" xr:uid="{DFE8AFEE-0D5E-4261-ACF0-2C99D7A9529C}">
      <formula1>"女の子向け,男の子向け,ネタ枠"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F635A-F277-4C03-88B2-1E0EA293D1E4}">
  <sheetPr>
    <tabColor theme="0"/>
  </sheetPr>
  <dimension ref="A13:N200"/>
  <sheetViews>
    <sheetView workbookViewId="0">
      <selection activeCell="F42" sqref="F42"/>
    </sheetView>
  </sheetViews>
  <sheetFormatPr defaultColWidth="8.83203125" defaultRowHeight="18"/>
  <cols>
    <col min="1" max="1" width="12.58203125" style="6" bestFit="1" customWidth="1"/>
    <col min="2" max="2" width="18.4140625" style="6" bestFit="1" customWidth="1"/>
    <col min="3" max="3" width="10.58203125" style="6" bestFit="1" customWidth="1"/>
    <col min="4" max="4" width="6.83203125" style="6" bestFit="1" customWidth="1"/>
    <col min="5" max="5" width="5" style="6" bestFit="1" customWidth="1"/>
    <col min="6" max="6" width="18.4140625" style="6" bestFit="1" customWidth="1"/>
    <col min="7" max="7" width="10.58203125" style="6" bestFit="1" customWidth="1"/>
    <col min="8" max="8" width="5" style="6" bestFit="1" customWidth="1"/>
    <col min="9" max="10" width="6.83203125" style="6" bestFit="1" customWidth="1"/>
    <col min="11" max="11" width="5" style="6" bestFit="1" customWidth="1"/>
    <col min="12" max="12" width="18.4140625" style="6" bestFit="1" customWidth="1"/>
    <col min="13" max="13" width="10.58203125" style="6" bestFit="1" customWidth="1"/>
    <col min="14" max="14" width="5" style="6" bestFit="1" customWidth="1"/>
    <col min="15" max="15" width="6.83203125" style="6" bestFit="1" customWidth="1"/>
    <col min="16" max="17" width="5" style="6" bestFit="1" customWidth="1"/>
    <col min="18" max="18" width="6.4140625" style="6" bestFit="1" customWidth="1"/>
    <col min="19" max="19" width="6.83203125" style="6" bestFit="1" customWidth="1"/>
    <col min="20" max="20" width="8.58203125" style="6" bestFit="1" customWidth="1"/>
    <col min="21" max="21" width="5" style="6" bestFit="1" customWidth="1"/>
    <col min="22" max="16384" width="8.83203125" style="6"/>
  </cols>
  <sheetData>
    <row r="13" spans="1:2">
      <c r="A13"/>
      <c r="B13"/>
    </row>
    <row r="14" spans="1:2">
      <c r="A14"/>
      <c r="B14"/>
    </row>
    <row r="15" spans="1:2">
      <c r="A15"/>
      <c r="B15"/>
    </row>
    <row r="17" spans="1:14">
      <c r="D17"/>
    </row>
    <row r="18" spans="1:14">
      <c r="A18" s="18" t="s">
        <v>814</v>
      </c>
      <c r="D18"/>
      <c r="F18" s="19" t="s">
        <v>815</v>
      </c>
      <c r="G18"/>
      <c r="L18" s="19" t="s">
        <v>815</v>
      </c>
      <c r="M18"/>
    </row>
    <row r="19" spans="1:14">
      <c r="A19" s="8" t="s">
        <v>366</v>
      </c>
      <c r="B19" s="6" t="s">
        <v>547</v>
      </c>
      <c r="D19"/>
      <c r="F19" s="1" t="s">
        <v>547</v>
      </c>
      <c r="G19" s="1" t="s">
        <v>467</v>
      </c>
      <c r="H19"/>
      <c r="L19" s="1" t="s">
        <v>547</v>
      </c>
      <c r="M19" s="1" t="s">
        <v>467</v>
      </c>
      <c r="N19"/>
    </row>
    <row r="20" spans="1:14">
      <c r="A20" s="6" t="s">
        <v>538</v>
      </c>
      <c r="B20" s="6">
        <v>166</v>
      </c>
      <c r="D20"/>
      <c r="F20" s="1" t="s">
        <v>366</v>
      </c>
      <c r="G20" t="s">
        <v>813</v>
      </c>
      <c r="H20" t="s">
        <v>364</v>
      </c>
      <c r="L20" s="1" t="s">
        <v>366</v>
      </c>
      <c r="M20" t="s">
        <v>812</v>
      </c>
      <c r="N20" t="s">
        <v>364</v>
      </c>
    </row>
    <row r="21" spans="1:14">
      <c r="A21" s="6" t="s">
        <v>539</v>
      </c>
      <c r="B21" s="6">
        <v>46</v>
      </c>
      <c r="D21"/>
      <c r="F21" s="2" t="s">
        <v>538</v>
      </c>
      <c r="G21">
        <v>98</v>
      </c>
      <c r="H21">
        <v>98</v>
      </c>
      <c r="L21" s="2" t="s">
        <v>538</v>
      </c>
      <c r="M21">
        <v>68</v>
      </c>
      <c r="N21">
        <v>68</v>
      </c>
    </row>
    <row r="22" spans="1:14">
      <c r="A22" s="6" t="s">
        <v>548</v>
      </c>
      <c r="B22" s="6">
        <v>42</v>
      </c>
      <c r="D22"/>
      <c r="F22" s="2" t="s">
        <v>539</v>
      </c>
      <c r="G22">
        <v>10</v>
      </c>
      <c r="H22">
        <v>10</v>
      </c>
      <c r="L22" s="2" t="s">
        <v>539</v>
      </c>
      <c r="M22">
        <v>36</v>
      </c>
      <c r="N22">
        <v>36</v>
      </c>
    </row>
    <row r="23" spans="1:14">
      <c r="A23" s="6" t="s">
        <v>546</v>
      </c>
      <c r="B23" s="6">
        <v>25</v>
      </c>
      <c r="D23"/>
      <c r="F23" s="2" t="s">
        <v>546</v>
      </c>
      <c r="G23">
        <v>10</v>
      </c>
      <c r="H23">
        <v>10</v>
      </c>
      <c r="L23" s="2" t="s">
        <v>548</v>
      </c>
      <c r="M23">
        <v>36</v>
      </c>
      <c r="N23">
        <v>36</v>
      </c>
    </row>
    <row r="24" spans="1:14">
      <c r="A24" s="6" t="s">
        <v>542</v>
      </c>
      <c r="B24" s="6">
        <v>21</v>
      </c>
      <c r="D24"/>
      <c r="F24" s="2" t="s">
        <v>544</v>
      </c>
      <c r="G24">
        <v>7</v>
      </c>
      <c r="H24">
        <v>7</v>
      </c>
      <c r="L24" s="2" t="s">
        <v>542</v>
      </c>
      <c r="M24">
        <v>21</v>
      </c>
      <c r="N24">
        <v>21</v>
      </c>
    </row>
    <row r="25" spans="1:14">
      <c r="A25" s="6" t="s">
        <v>543</v>
      </c>
      <c r="B25" s="6">
        <v>19</v>
      </c>
      <c r="D25"/>
      <c r="F25" s="2" t="s">
        <v>543</v>
      </c>
      <c r="G25">
        <v>7</v>
      </c>
      <c r="H25">
        <v>7</v>
      </c>
      <c r="L25" s="2" t="s">
        <v>546</v>
      </c>
      <c r="M25">
        <v>15</v>
      </c>
      <c r="N25">
        <v>15</v>
      </c>
    </row>
    <row r="26" spans="1:14">
      <c r="A26" s="6" t="s">
        <v>541</v>
      </c>
      <c r="B26" s="6">
        <v>12</v>
      </c>
      <c r="C26"/>
      <c r="D26"/>
      <c r="F26" s="2" t="s">
        <v>548</v>
      </c>
      <c r="G26">
        <v>6</v>
      </c>
      <c r="H26">
        <v>6</v>
      </c>
      <c r="L26" s="2" t="s">
        <v>543</v>
      </c>
      <c r="M26">
        <v>12</v>
      </c>
      <c r="N26">
        <v>12</v>
      </c>
    </row>
    <row r="27" spans="1:14">
      <c r="A27" s="6" t="s">
        <v>544</v>
      </c>
      <c r="B27" s="6">
        <v>11</v>
      </c>
      <c r="C27"/>
      <c r="D27"/>
      <c r="F27" s="2" t="s">
        <v>364</v>
      </c>
      <c r="G27">
        <v>138</v>
      </c>
      <c r="H27">
        <v>138</v>
      </c>
      <c r="L27" s="2" t="s">
        <v>541</v>
      </c>
      <c r="M27">
        <v>12</v>
      </c>
      <c r="N27">
        <v>12</v>
      </c>
    </row>
    <row r="28" spans="1:14">
      <c r="A28" s="6" t="s">
        <v>545</v>
      </c>
      <c r="B28" s="6">
        <v>8</v>
      </c>
      <c r="C28"/>
      <c r="D28"/>
      <c r="L28" s="2" t="s">
        <v>545</v>
      </c>
      <c r="M28">
        <v>8</v>
      </c>
      <c r="N28">
        <v>8</v>
      </c>
    </row>
    <row r="29" spans="1:14">
      <c r="A29" s="6" t="s">
        <v>364</v>
      </c>
      <c r="B29" s="6">
        <v>350</v>
      </c>
      <c r="C29"/>
      <c r="L29" s="2" t="s">
        <v>544</v>
      </c>
      <c r="M29">
        <v>4</v>
      </c>
      <c r="N29">
        <v>4</v>
      </c>
    </row>
    <row r="30" spans="1:14">
      <c r="L30" s="2" t="s">
        <v>364</v>
      </c>
      <c r="M30">
        <v>212</v>
      </c>
      <c r="N30">
        <v>212</v>
      </c>
    </row>
    <row r="31" spans="1:14">
      <c r="D31"/>
    </row>
    <row r="32" spans="1:14">
      <c r="B32" s="19" t="s">
        <v>857</v>
      </c>
      <c r="D32"/>
    </row>
    <row r="33" spans="1:8">
      <c r="A33"/>
      <c r="B33" s="1" t="s">
        <v>547</v>
      </c>
      <c r="C33" s="1" t="s">
        <v>467</v>
      </c>
      <c r="D33"/>
      <c r="E33"/>
      <c r="F33"/>
    </row>
    <row r="34" spans="1:8">
      <c r="A34"/>
      <c r="B34" s="1" t="s">
        <v>366</v>
      </c>
      <c r="C34" t="s">
        <v>812</v>
      </c>
      <c r="D34" t="s">
        <v>813</v>
      </c>
      <c r="E34" t="s">
        <v>364</v>
      </c>
      <c r="F34"/>
    </row>
    <row r="35" spans="1:8">
      <c r="A35"/>
      <c r="B35" s="2" t="s">
        <v>854</v>
      </c>
      <c r="C35">
        <v>2</v>
      </c>
      <c r="D35"/>
      <c r="E35">
        <v>2</v>
      </c>
    </row>
    <row r="36" spans="1:8">
      <c r="A36"/>
      <c r="B36" s="2" t="s">
        <v>852</v>
      </c>
      <c r="C36">
        <v>80</v>
      </c>
      <c r="D36">
        <v>101</v>
      </c>
      <c r="E36">
        <v>181</v>
      </c>
    </row>
    <row r="37" spans="1:8">
      <c r="A37"/>
      <c r="B37" s="2" t="s">
        <v>853</v>
      </c>
      <c r="C37">
        <v>130</v>
      </c>
      <c r="D37">
        <v>37</v>
      </c>
      <c r="E37">
        <v>167</v>
      </c>
    </row>
    <row r="38" spans="1:8">
      <c r="A38"/>
      <c r="B38" s="2" t="s">
        <v>364</v>
      </c>
      <c r="C38">
        <v>212</v>
      </c>
      <c r="D38">
        <v>138</v>
      </c>
      <c r="E38">
        <v>350</v>
      </c>
    </row>
    <row r="39" spans="1:8">
      <c r="A39"/>
      <c r="B39"/>
      <c r="C39"/>
      <c r="D39"/>
      <c r="E39"/>
    </row>
    <row r="40" spans="1:8">
      <c r="A40"/>
      <c r="B40" s="19" t="s">
        <v>856</v>
      </c>
      <c r="D40"/>
    </row>
    <row r="41" spans="1:8">
      <c r="A41"/>
      <c r="B41" s="1" t="s">
        <v>855</v>
      </c>
      <c r="C41" s="1" t="s">
        <v>467</v>
      </c>
      <c r="D41"/>
      <c r="E41"/>
      <c r="F41"/>
      <c r="G41"/>
      <c r="H41"/>
    </row>
    <row r="42" spans="1:8">
      <c r="A42"/>
      <c r="B42" s="1" t="s">
        <v>366</v>
      </c>
      <c r="C42" t="s">
        <v>812</v>
      </c>
      <c r="D42" t="s">
        <v>813</v>
      </c>
      <c r="E42" t="s">
        <v>364</v>
      </c>
      <c r="F42"/>
      <c r="G42"/>
      <c r="H42"/>
    </row>
    <row r="43" spans="1:8">
      <c r="A43"/>
      <c r="B43" s="2" t="s">
        <v>854</v>
      </c>
      <c r="C43">
        <v>1</v>
      </c>
      <c r="D43"/>
      <c r="E43">
        <v>1</v>
      </c>
      <c r="F43"/>
      <c r="G43"/>
      <c r="H43"/>
    </row>
    <row r="44" spans="1:8">
      <c r="A44"/>
      <c r="B44" s="2" t="s">
        <v>852</v>
      </c>
      <c r="C44">
        <v>67</v>
      </c>
      <c r="D44">
        <v>20</v>
      </c>
      <c r="E44">
        <v>87</v>
      </c>
      <c r="F44"/>
      <c r="G44"/>
      <c r="H44"/>
    </row>
    <row r="45" spans="1:8">
      <c r="A45"/>
      <c r="B45" s="2" t="s">
        <v>853</v>
      </c>
      <c r="C45">
        <v>107</v>
      </c>
      <c r="D45">
        <v>9</v>
      </c>
      <c r="E45">
        <v>116</v>
      </c>
      <c r="F45"/>
      <c r="G45"/>
      <c r="H45"/>
    </row>
    <row r="46" spans="1:8">
      <c r="A46"/>
      <c r="B46" s="2" t="s">
        <v>364</v>
      </c>
      <c r="C46">
        <v>175</v>
      </c>
      <c r="D46">
        <v>29</v>
      </c>
      <c r="E46">
        <v>204</v>
      </c>
      <c r="F46"/>
      <c r="G46"/>
      <c r="H46"/>
    </row>
    <row r="47" spans="1:8">
      <c r="A47"/>
      <c r="B47"/>
      <c r="C47"/>
      <c r="D47"/>
      <c r="E47"/>
      <c r="F47"/>
      <c r="G47"/>
      <c r="H47"/>
    </row>
    <row r="48" spans="1:8">
      <c r="A48"/>
      <c r="B48"/>
      <c r="C48"/>
      <c r="D48"/>
    </row>
    <row r="49" spans="1:4">
      <c r="A49"/>
      <c r="B49"/>
      <c r="C49"/>
      <c r="D49"/>
    </row>
    <row r="50" spans="1:4">
      <c r="A50"/>
      <c r="B50"/>
      <c r="C50"/>
      <c r="D50"/>
    </row>
    <row r="51" spans="1:4">
      <c r="A51"/>
      <c r="B51"/>
    </row>
    <row r="52" spans="1:4">
      <c r="A52"/>
      <c r="B52"/>
    </row>
    <row r="53" spans="1:4">
      <c r="A53"/>
      <c r="B53"/>
    </row>
    <row r="54" spans="1:4">
      <c r="A54"/>
      <c r="B54"/>
    </row>
    <row r="55" spans="1:4">
      <c r="A55"/>
      <c r="B55"/>
    </row>
    <row r="56" spans="1:4">
      <c r="A56"/>
      <c r="B56"/>
    </row>
    <row r="57" spans="1:4">
      <c r="A57"/>
      <c r="B57"/>
    </row>
    <row r="58" spans="1:4">
      <c r="A58"/>
      <c r="B58"/>
    </row>
    <row r="59" spans="1:4">
      <c r="A59"/>
      <c r="B59"/>
    </row>
    <row r="60" spans="1:4">
      <c r="A60"/>
      <c r="B60"/>
    </row>
    <row r="61" spans="1:4">
      <c r="A61"/>
      <c r="B61"/>
    </row>
    <row r="62" spans="1:4">
      <c r="A62"/>
      <c r="B62"/>
    </row>
    <row r="63" spans="1:4">
      <c r="A63"/>
      <c r="B63"/>
    </row>
    <row r="64" spans="1:4">
      <c r="A64"/>
      <c r="B64"/>
    </row>
    <row r="65" spans="1:1">
      <c r="A65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  <row r="72" spans="1:1">
      <c r="A72"/>
    </row>
    <row r="73" spans="1:1">
      <c r="A73"/>
    </row>
    <row r="74" spans="1:1">
      <c r="A74"/>
    </row>
    <row r="75" spans="1:1">
      <c r="A75"/>
    </row>
    <row r="76" spans="1:1">
      <c r="A76"/>
    </row>
    <row r="77" spans="1:1">
      <c r="A77"/>
    </row>
    <row r="78" spans="1:1">
      <c r="A78"/>
    </row>
    <row r="79" spans="1:1">
      <c r="A79"/>
    </row>
    <row r="80" spans="1:1">
      <c r="A80"/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  <row r="126" spans="1:1">
      <c r="A126"/>
    </row>
    <row r="127" spans="1:1">
      <c r="A127"/>
    </row>
    <row r="128" spans="1:1">
      <c r="A128"/>
    </row>
    <row r="129" spans="1:1">
      <c r="A129"/>
    </row>
    <row r="130" spans="1:1">
      <c r="A130"/>
    </row>
    <row r="131" spans="1:1">
      <c r="A131"/>
    </row>
    <row r="132" spans="1:1">
      <c r="A132"/>
    </row>
    <row r="133" spans="1:1">
      <c r="A133"/>
    </row>
    <row r="134" spans="1:1">
      <c r="A134"/>
    </row>
    <row r="135" spans="1:1">
      <c r="A135"/>
    </row>
    <row r="136" spans="1:1">
      <c r="A136"/>
    </row>
    <row r="137" spans="1:1">
      <c r="A137"/>
    </row>
    <row r="138" spans="1:1">
      <c r="A138"/>
    </row>
    <row r="139" spans="1:1">
      <c r="A139"/>
    </row>
    <row r="140" spans="1:1">
      <c r="A140"/>
    </row>
    <row r="141" spans="1:1">
      <c r="A141"/>
    </row>
    <row r="142" spans="1:1">
      <c r="A142"/>
    </row>
    <row r="143" spans="1:1">
      <c r="A143"/>
    </row>
    <row r="144" spans="1:1">
      <c r="A144"/>
    </row>
    <row r="145" spans="1:1">
      <c r="A145"/>
    </row>
    <row r="146" spans="1:1">
      <c r="A146"/>
    </row>
    <row r="147" spans="1:1">
      <c r="A147"/>
    </row>
    <row r="148" spans="1:1">
      <c r="A148"/>
    </row>
    <row r="149" spans="1:1">
      <c r="A149"/>
    </row>
    <row r="150" spans="1:1">
      <c r="A150"/>
    </row>
    <row r="151" spans="1:1">
      <c r="A151"/>
    </row>
    <row r="152" spans="1:1">
      <c r="A152"/>
    </row>
    <row r="153" spans="1:1">
      <c r="A153"/>
    </row>
    <row r="154" spans="1:1">
      <c r="A154"/>
    </row>
    <row r="155" spans="1:1">
      <c r="A155"/>
    </row>
    <row r="156" spans="1:1">
      <c r="A156"/>
    </row>
    <row r="157" spans="1:1">
      <c r="A157"/>
    </row>
    <row r="158" spans="1:1">
      <c r="A158"/>
    </row>
    <row r="159" spans="1:1">
      <c r="A159"/>
    </row>
    <row r="160" spans="1:1">
      <c r="A160"/>
    </row>
    <row r="161" spans="1:1">
      <c r="A161"/>
    </row>
    <row r="162" spans="1:1">
      <c r="A162"/>
    </row>
    <row r="163" spans="1:1">
      <c r="A163"/>
    </row>
    <row r="164" spans="1:1">
      <c r="A164"/>
    </row>
    <row r="165" spans="1:1">
      <c r="A165"/>
    </row>
    <row r="166" spans="1:1">
      <c r="A166"/>
    </row>
    <row r="167" spans="1:1">
      <c r="A167"/>
    </row>
    <row r="168" spans="1:1">
      <c r="A168"/>
    </row>
    <row r="169" spans="1:1">
      <c r="A169"/>
    </row>
    <row r="170" spans="1:1">
      <c r="A170"/>
    </row>
    <row r="171" spans="1:1">
      <c r="A171"/>
    </row>
    <row r="172" spans="1:1">
      <c r="A172"/>
    </row>
    <row r="173" spans="1:1">
      <c r="A173"/>
    </row>
    <row r="174" spans="1:1">
      <c r="A174"/>
    </row>
    <row r="175" spans="1:1">
      <c r="A175"/>
    </row>
    <row r="176" spans="1:1">
      <c r="A176"/>
    </row>
    <row r="177" spans="1:1">
      <c r="A177"/>
    </row>
    <row r="178" spans="1:1">
      <c r="A178"/>
    </row>
    <row r="179" spans="1:1">
      <c r="A179"/>
    </row>
    <row r="180" spans="1:1">
      <c r="A180"/>
    </row>
    <row r="181" spans="1:1">
      <c r="A181"/>
    </row>
    <row r="182" spans="1:1">
      <c r="A182"/>
    </row>
    <row r="183" spans="1:1">
      <c r="A183"/>
    </row>
    <row r="184" spans="1:1">
      <c r="A184"/>
    </row>
    <row r="185" spans="1:1">
      <c r="A185"/>
    </row>
    <row r="186" spans="1:1">
      <c r="A186"/>
    </row>
    <row r="187" spans="1:1">
      <c r="A187"/>
    </row>
    <row r="188" spans="1:1">
      <c r="A188"/>
    </row>
    <row r="189" spans="1:1">
      <c r="A189"/>
    </row>
    <row r="190" spans="1:1">
      <c r="A190"/>
    </row>
    <row r="191" spans="1:1">
      <c r="A191"/>
    </row>
    <row r="192" spans="1:1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  <row r="198" spans="1:1">
      <c r="A198"/>
    </row>
    <row r="199" spans="1:1">
      <c r="A199"/>
    </row>
    <row r="200" spans="1:1">
      <c r="A200"/>
    </row>
  </sheetData>
  <phoneticPr fontId="2"/>
  <pageMargins left="0.7" right="0.7" top="0.75" bottom="0.75" header="0.3" footer="0.3"/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C61F2-43D0-4E5E-8E78-97DA73F3A798}">
  <sheetPr>
    <tabColor theme="0"/>
  </sheetPr>
  <dimension ref="A1:C20"/>
  <sheetViews>
    <sheetView workbookViewId="0">
      <selection activeCell="H20" sqref="H20"/>
    </sheetView>
  </sheetViews>
  <sheetFormatPr defaultColWidth="8.83203125" defaultRowHeight="18"/>
  <cols>
    <col min="1" max="1" width="13" style="3" customWidth="1"/>
    <col min="2" max="2" width="11" style="6" customWidth="1"/>
    <col min="3" max="3" width="13" style="6" customWidth="1"/>
    <col min="4" max="16384" width="8.83203125" style="3"/>
  </cols>
  <sheetData>
    <row r="1" spans="1:3">
      <c r="A1" s="3" t="s">
        <v>816</v>
      </c>
    </row>
    <row r="2" spans="1:3" ht="36">
      <c r="A2" s="6" t="s">
        <v>576</v>
      </c>
      <c r="B2" s="6" t="s">
        <v>574</v>
      </c>
      <c r="C2" s="7" t="s">
        <v>575</v>
      </c>
    </row>
    <row r="3" spans="1:3">
      <c r="A3" s="6">
        <v>1</v>
      </c>
      <c r="B3" s="6" t="s">
        <v>556</v>
      </c>
      <c r="C3" s="6" cm="1">
        <f t="array" ref="C3">SUMPRODUCT(((ポケモンマスタ!G$2:G$205=B3)+(ポケモンマスタ!H$2:H$205=B3))*(ポケモンマスタ!B$2:B$205))</f>
        <v>80</v>
      </c>
    </row>
    <row r="4" spans="1:3">
      <c r="A4" s="6">
        <v>18</v>
      </c>
      <c r="B4" s="6" t="s">
        <v>504</v>
      </c>
      <c r="C4" s="6" cm="1">
        <f t="array" ref="C4">SUMPRODUCT(((ポケモンマスタ!G$2:G$205=B4)+(ポケモンマスタ!H$2:H$205=B4))*(ポケモンマスタ!B$2:B$205))</f>
        <v>76</v>
      </c>
    </row>
    <row r="5" spans="1:3">
      <c r="A5" s="6">
        <v>11</v>
      </c>
      <c r="B5" s="6" t="s">
        <v>562</v>
      </c>
      <c r="C5" s="6" cm="1">
        <f t="array" ref="C5">SUMPRODUCT(((ポケモンマスタ!G$2:G$205=B5)+(ポケモンマスタ!H$2:H$205=B5))*(ポケモンマスタ!B$2:B$205))</f>
        <v>43</v>
      </c>
    </row>
    <row r="6" spans="1:3">
      <c r="A6" s="6">
        <v>14</v>
      </c>
      <c r="B6" s="6" t="s">
        <v>256</v>
      </c>
      <c r="C6" s="6" cm="1">
        <f t="array" ref="C6">SUMPRODUCT(((ポケモンマスタ!G$2:G$205=B6)+(ポケモンマスタ!H$2:H$205=B6))*(ポケモンマスタ!B$2:B$205))</f>
        <v>38</v>
      </c>
    </row>
    <row r="7" spans="1:3">
      <c r="A7" s="6">
        <v>3</v>
      </c>
      <c r="B7" s="6" t="s">
        <v>554</v>
      </c>
      <c r="C7" s="6" cm="1">
        <f t="array" ref="C7">SUMPRODUCT(((ポケモンマスタ!G$2:G$205=B7)+(ポケモンマスタ!H$2:H$205=B7))*(ポケモンマスタ!B$2:B$205))</f>
        <v>35</v>
      </c>
    </row>
    <row r="8" spans="1:3">
      <c r="A8" s="6">
        <v>10</v>
      </c>
      <c r="B8" s="6" t="s">
        <v>553</v>
      </c>
      <c r="C8" s="6" cm="1">
        <f t="array" ref="C8">SUMPRODUCT(((ポケモンマスタ!G$2:G$205=B8)+(ポケモンマスタ!H$2:H$205=B8))*(ポケモンマスタ!B$2:B$205))</f>
        <v>31</v>
      </c>
    </row>
    <row r="9" spans="1:3">
      <c r="A9" s="6">
        <v>5</v>
      </c>
      <c r="B9" s="6" t="s">
        <v>550</v>
      </c>
      <c r="C9" s="6" cm="1">
        <f t="array" ref="C9">SUMPRODUCT(((ポケモンマスタ!G$2:G$205=B9)+(ポケモンマスタ!H$2:H$205=B9))*(ポケモンマスタ!B$2:B$205))</f>
        <v>30</v>
      </c>
    </row>
    <row r="10" spans="1:3">
      <c r="A10" s="6">
        <v>8</v>
      </c>
      <c r="B10" s="6" t="s">
        <v>551</v>
      </c>
      <c r="C10" s="6" cm="1">
        <f t="array" ref="C10">SUMPRODUCT(((ポケモンマスタ!G$2:G$205=B10)+(ポケモンマスタ!H$2:H$205=B10))*(ポケモンマスタ!B$2:B$205))</f>
        <v>29</v>
      </c>
    </row>
    <row r="11" spans="1:3">
      <c r="A11" s="6">
        <v>4</v>
      </c>
      <c r="B11" s="6" t="s">
        <v>558</v>
      </c>
      <c r="C11" s="6" cm="1">
        <f t="array" ref="C11">SUMPRODUCT(((ポケモンマスタ!G$2:G$205=B11)+(ポケモンマスタ!H$2:H$205=B11))*(ポケモンマスタ!B$2:B$205))</f>
        <v>26</v>
      </c>
    </row>
    <row r="12" spans="1:3">
      <c r="A12" s="6">
        <v>17</v>
      </c>
      <c r="B12" s="6" t="s">
        <v>259</v>
      </c>
      <c r="C12" s="6" cm="1">
        <f t="array" ref="C12">SUMPRODUCT(((ポケモンマスタ!G$2:G$205=B12)+(ポケモンマスタ!H$2:H$205=B12))*(ポケモンマスタ!B$2:B$205))</f>
        <v>25</v>
      </c>
    </row>
    <row r="13" spans="1:3">
      <c r="A13" s="6">
        <v>9</v>
      </c>
      <c r="B13" s="6" t="s">
        <v>559</v>
      </c>
      <c r="C13" s="6" cm="1">
        <f t="array" ref="C13">SUMPRODUCT(((ポケモンマスタ!G$2:G$205=B13)+(ポケモンマスタ!H$2:H$205=B13))*(ポケモンマスタ!B$2:B$205))</f>
        <v>19</v>
      </c>
    </row>
    <row r="14" spans="1:3">
      <c r="A14" s="6">
        <v>7</v>
      </c>
      <c r="B14" s="6" t="s">
        <v>561</v>
      </c>
      <c r="C14" s="6" cm="1">
        <f t="array" ref="C14">SUMPRODUCT(((ポケモンマスタ!G$2:G$205=B14)+(ポケモンマスタ!H$2:H$205=B14))*(ポケモンマスタ!B$2:B$205))</f>
        <v>15</v>
      </c>
    </row>
    <row r="15" spans="1:3">
      <c r="A15" s="6">
        <v>15</v>
      </c>
      <c r="B15" s="6" t="s">
        <v>568</v>
      </c>
      <c r="C15" s="6" cm="1">
        <f t="array" ref="C15">SUMPRODUCT(((ポケモンマスタ!G$2:G$205=B15)+(ポケモンマスタ!H$2:H$205=B15))*(ポケモンマスタ!B$2:B$205))</f>
        <v>14</v>
      </c>
    </row>
    <row r="16" spans="1:3">
      <c r="A16" s="6">
        <v>16</v>
      </c>
      <c r="B16" s="6" t="s">
        <v>571</v>
      </c>
      <c r="C16" s="6" cm="1">
        <f t="array" ref="C16">SUMPRODUCT(((ポケモンマスタ!G$2:G$205=B16)+(ポケモンマスタ!H$2:H$205=B16))*(ポケモンマスタ!B$2:B$205))</f>
        <v>12</v>
      </c>
    </row>
    <row r="17" spans="1:3">
      <c r="A17" s="6">
        <v>13</v>
      </c>
      <c r="B17" s="6" t="s">
        <v>563</v>
      </c>
      <c r="C17" s="6" cm="1">
        <f t="array" ref="C17">SUMPRODUCT(((ポケモンマスタ!G$2:G$205=B17)+(ポケモンマスタ!H$2:H$205=B17))*(ポケモンマスタ!B$2:B$205))</f>
        <v>12</v>
      </c>
    </row>
    <row r="18" spans="1:3">
      <c r="A18" s="6">
        <v>2</v>
      </c>
      <c r="B18" s="6" t="s">
        <v>552</v>
      </c>
      <c r="C18" s="6" cm="1">
        <f t="array" ref="C18">SUMPRODUCT(((ポケモンマスタ!G$2:G$205=B18)+(ポケモンマスタ!H$2:H$205=B18))*(ポケモンマスタ!B$2:B$205))</f>
        <v>10</v>
      </c>
    </row>
    <row r="19" spans="1:3">
      <c r="A19" s="6">
        <v>12</v>
      </c>
      <c r="B19" s="6" t="s">
        <v>555</v>
      </c>
      <c r="C19" s="6" cm="1">
        <f t="array" ref="C19">SUMPRODUCT(((ポケモンマスタ!G$2:G$205=B19)+(ポケモンマスタ!H$2:H$205=B19))*(ポケモンマスタ!B$2:B$205))</f>
        <v>9</v>
      </c>
    </row>
    <row r="20" spans="1:3">
      <c r="A20" s="6">
        <v>6</v>
      </c>
      <c r="B20" s="6" t="s">
        <v>565</v>
      </c>
      <c r="C20" s="6" cm="1">
        <f t="array" ref="C20">SUMPRODUCT(((ポケモンマスタ!G$2:G$205=B20)+(ポケモンマスタ!H$2:H$205=B20))*(ポケモンマスタ!B$2:B$205))</f>
        <v>7</v>
      </c>
    </row>
  </sheetData>
  <phoneticPr fontId="2"/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88F9C-15B1-411F-87F0-04E38F297952}">
  <sheetPr>
    <tabColor theme="0"/>
  </sheetPr>
  <dimension ref="A1:F31"/>
  <sheetViews>
    <sheetView workbookViewId="0">
      <selection activeCell="L12" sqref="L12"/>
    </sheetView>
  </sheetViews>
  <sheetFormatPr defaultRowHeight="18"/>
  <cols>
    <col min="1" max="1" width="12.58203125" style="6" bestFit="1" customWidth="1"/>
    <col min="2" max="2" width="20.33203125" style="6" bestFit="1" customWidth="1"/>
    <col min="3" max="3" width="10.4140625" bestFit="1" customWidth="1"/>
    <col min="4" max="6" width="12.4140625" customWidth="1"/>
  </cols>
  <sheetData>
    <row r="1" spans="1:6" ht="36">
      <c r="A1" s="8" t="s">
        <v>366</v>
      </c>
      <c r="B1" s="7" t="s">
        <v>861</v>
      </c>
      <c r="D1" s="6"/>
      <c r="E1" s="6"/>
      <c r="F1" s="7"/>
    </row>
    <row r="2" spans="1:6">
      <c r="A2" s="6" t="s">
        <v>538</v>
      </c>
      <c r="B2" s="6">
        <v>84</v>
      </c>
      <c r="D2" s="6"/>
      <c r="E2" s="6"/>
      <c r="F2" s="6"/>
    </row>
    <row r="3" spans="1:6">
      <c r="A3" s="6" t="s">
        <v>539</v>
      </c>
      <c r="B3" s="6">
        <v>19</v>
      </c>
      <c r="D3" s="6"/>
      <c r="E3" s="6"/>
      <c r="F3" s="6"/>
    </row>
    <row r="4" spans="1:6">
      <c r="A4" s="6" t="s">
        <v>548</v>
      </c>
      <c r="B4" s="6">
        <v>17</v>
      </c>
      <c r="D4" s="6"/>
      <c r="E4" s="6"/>
      <c r="F4" s="6"/>
    </row>
    <row r="5" spans="1:6">
      <c r="A5" s="6" t="s">
        <v>543</v>
      </c>
      <c r="B5" s="6">
        <v>15</v>
      </c>
      <c r="D5" s="6"/>
      <c r="E5" s="6"/>
      <c r="F5" s="6"/>
    </row>
    <row r="6" spans="1:6">
      <c r="A6" s="6" t="s">
        <v>542</v>
      </c>
      <c r="B6" s="6">
        <v>14</v>
      </c>
      <c r="D6" s="6"/>
      <c r="E6" s="6"/>
      <c r="F6" s="6"/>
    </row>
    <row r="7" spans="1:6">
      <c r="A7" s="6" t="s">
        <v>546</v>
      </c>
      <c r="B7" s="6">
        <v>11</v>
      </c>
      <c r="D7" s="6"/>
      <c r="E7" s="6"/>
      <c r="F7" s="6"/>
    </row>
    <row r="8" spans="1:6">
      <c r="A8" s="6" t="s">
        <v>545</v>
      </c>
      <c r="B8" s="6">
        <v>6</v>
      </c>
      <c r="D8" s="6"/>
      <c r="E8" s="6"/>
      <c r="F8" s="6"/>
    </row>
    <row r="9" spans="1:6">
      <c r="A9" s="6" t="s">
        <v>544</v>
      </c>
      <c r="B9" s="6">
        <v>6</v>
      </c>
      <c r="D9" s="6"/>
      <c r="E9" s="6"/>
      <c r="F9" s="6"/>
    </row>
    <row r="10" spans="1:6">
      <c r="A10" s="6" t="s">
        <v>541</v>
      </c>
      <c r="B10" s="6">
        <v>4</v>
      </c>
      <c r="D10" s="6"/>
      <c r="E10" s="6"/>
      <c r="F10" s="6"/>
    </row>
    <row r="11" spans="1:6">
      <c r="A11" s="6" t="s">
        <v>364</v>
      </c>
      <c r="B11" s="6">
        <v>176</v>
      </c>
      <c r="D11" s="6"/>
      <c r="E11" s="6"/>
      <c r="F11" s="6"/>
    </row>
    <row r="12" spans="1:6">
      <c r="D12" s="6"/>
      <c r="E12" s="6"/>
      <c r="F12" s="6"/>
    </row>
    <row r="13" spans="1:6" ht="54">
      <c r="A13" s="6" t="s">
        <v>576</v>
      </c>
      <c r="B13" s="6" t="s">
        <v>574</v>
      </c>
      <c r="C13" s="7" t="s">
        <v>575</v>
      </c>
      <c r="D13" s="6"/>
      <c r="E13" s="6"/>
      <c r="F13" s="6"/>
    </row>
    <row r="14" spans="1:6">
      <c r="A14" s="6">
        <v>1</v>
      </c>
      <c r="B14" s="6" t="s">
        <v>556</v>
      </c>
      <c r="C14" s="6" cm="1">
        <f t="array" ref="C14">SUMPRODUCT(((ポケモンマスタ!G$2:G$205=B14)+(ポケモンマスタ!H$2:H$205=B14))*(ポケモンマスタ!Q$2:Q$205))</f>
        <v>38</v>
      </c>
      <c r="D14" s="6"/>
      <c r="E14" s="6"/>
      <c r="F14" s="6"/>
    </row>
    <row r="15" spans="1:6">
      <c r="A15" s="6">
        <v>18</v>
      </c>
      <c r="B15" s="6" t="s">
        <v>504</v>
      </c>
      <c r="C15" s="6" cm="1">
        <f t="array" ref="C15">SUMPRODUCT(((ポケモンマスタ!G$2:G$205=B15)+(ポケモンマスタ!H$2:H$205=B15))*(ポケモンマスタ!Q$2:Q$205))</f>
        <v>37</v>
      </c>
      <c r="D15" s="6"/>
      <c r="E15" s="6"/>
      <c r="F15" s="6"/>
    </row>
    <row r="16" spans="1:6">
      <c r="A16" s="6">
        <v>14</v>
      </c>
      <c r="B16" s="6" t="s">
        <v>256</v>
      </c>
      <c r="C16" s="6" cm="1">
        <f t="array" ref="C16">SUMPRODUCT(((ポケモンマスタ!G$2:G$205=B16)+(ポケモンマスタ!H$2:H$205=B16))*(ポケモンマスタ!Q$2:Q$205))</f>
        <v>22</v>
      </c>
      <c r="D16" s="6"/>
      <c r="E16" s="6"/>
      <c r="F16" s="6"/>
    </row>
    <row r="17" spans="1:6">
      <c r="A17" s="6">
        <v>10</v>
      </c>
      <c r="B17" s="6" t="s">
        <v>553</v>
      </c>
      <c r="C17" s="6" cm="1">
        <f t="array" ref="C17">SUMPRODUCT(((ポケモンマスタ!G$2:G$205=B17)+(ポケモンマスタ!H$2:H$205=B17))*(ポケモンマスタ!Q$2:Q$205))</f>
        <v>20</v>
      </c>
      <c r="D17" s="6"/>
      <c r="E17" s="6"/>
      <c r="F17" s="6"/>
    </row>
    <row r="18" spans="1:6">
      <c r="A18" s="6">
        <v>11</v>
      </c>
      <c r="B18" s="6" t="s">
        <v>562</v>
      </c>
      <c r="C18" s="6" cm="1">
        <f t="array" ref="C18">SUMPRODUCT(((ポケモンマスタ!G$2:G$205=B18)+(ポケモンマスタ!H$2:H$205=B18))*(ポケモンマスタ!Q$2:Q$205))</f>
        <v>18</v>
      </c>
      <c r="D18" s="6"/>
      <c r="E18" s="6"/>
      <c r="F18" s="6"/>
    </row>
    <row r="19" spans="1:6">
      <c r="A19" s="6">
        <v>3</v>
      </c>
      <c r="B19" s="6" t="s">
        <v>554</v>
      </c>
      <c r="C19" s="6" cm="1">
        <f t="array" ref="C19">SUMPRODUCT(((ポケモンマスタ!G$2:G$205=B19)+(ポケモンマスタ!H$2:H$205=B19))*(ポケモンマスタ!Q$2:Q$205))</f>
        <v>17</v>
      </c>
      <c r="D19" s="6"/>
      <c r="E19" s="6"/>
      <c r="F19" s="6"/>
    </row>
    <row r="20" spans="1:6">
      <c r="A20" s="6">
        <v>5</v>
      </c>
      <c r="B20" s="6" t="s">
        <v>550</v>
      </c>
      <c r="C20" s="6" cm="1">
        <f t="array" ref="C20">SUMPRODUCT(((ポケモンマスタ!G$2:G$205=B20)+(ポケモンマスタ!H$2:H$205=B20))*(ポケモンマスタ!Q$2:Q$205))</f>
        <v>15</v>
      </c>
    </row>
    <row r="21" spans="1:6">
      <c r="A21" s="6">
        <v>8</v>
      </c>
      <c r="B21" s="6" t="s">
        <v>551</v>
      </c>
      <c r="C21" s="6" cm="1">
        <f t="array" ref="C21">SUMPRODUCT(((ポケモンマスタ!G$2:G$205=B21)+(ポケモンマスタ!H$2:H$205=B21))*(ポケモンマスタ!Q$2:Q$205))</f>
        <v>15</v>
      </c>
    </row>
    <row r="22" spans="1:6">
      <c r="A22" s="6">
        <v>17</v>
      </c>
      <c r="B22" s="6" t="s">
        <v>259</v>
      </c>
      <c r="C22" s="6" cm="1">
        <f t="array" ref="C22">SUMPRODUCT(((ポケモンマスタ!G$2:G$205=B22)+(ポケモンマスタ!H$2:H$205=B22))*(ポケモンマスタ!Q$2:Q$205))</f>
        <v>12</v>
      </c>
    </row>
    <row r="23" spans="1:6">
      <c r="A23" s="6">
        <v>4</v>
      </c>
      <c r="B23" s="6" t="s">
        <v>558</v>
      </c>
      <c r="C23" s="6" cm="1">
        <f t="array" ref="C23">SUMPRODUCT(((ポケモンマスタ!G$2:G$205=B23)+(ポケモンマスタ!H$2:H$205=B23))*(ポケモンマスタ!Q$2:Q$205))</f>
        <v>10</v>
      </c>
    </row>
    <row r="24" spans="1:6">
      <c r="A24" s="6">
        <v>7</v>
      </c>
      <c r="B24" s="6" t="s">
        <v>561</v>
      </c>
      <c r="C24" s="6" cm="1">
        <f t="array" ref="C24">SUMPRODUCT(((ポケモンマスタ!G$2:G$205=B24)+(ポケモンマスタ!H$2:H$205=B24))*(ポケモンマスタ!Q$2:Q$205))</f>
        <v>10</v>
      </c>
    </row>
    <row r="25" spans="1:6">
      <c r="A25" s="6">
        <v>15</v>
      </c>
      <c r="B25" s="6" t="s">
        <v>568</v>
      </c>
      <c r="C25" s="6" cm="1">
        <f t="array" ref="C25">SUMPRODUCT(((ポケモンマスタ!G$2:G$205=B25)+(ポケモンマスタ!H$2:H$205=B25))*(ポケモンマスタ!Q$2:Q$205))</f>
        <v>10</v>
      </c>
    </row>
    <row r="26" spans="1:6">
      <c r="A26" s="6">
        <v>9</v>
      </c>
      <c r="B26" s="6" t="s">
        <v>559</v>
      </c>
      <c r="C26" s="6" cm="1">
        <f t="array" ref="C26">SUMPRODUCT(((ポケモンマスタ!G$2:G$205=B26)+(ポケモンマスタ!H$2:H$205=B26))*(ポケモンマスタ!Q$2:Q$205))</f>
        <v>9</v>
      </c>
    </row>
    <row r="27" spans="1:6">
      <c r="A27" s="6">
        <v>16</v>
      </c>
      <c r="B27" s="6" t="s">
        <v>571</v>
      </c>
      <c r="C27" s="6" cm="1">
        <f t="array" ref="C27">SUMPRODUCT(((ポケモンマスタ!G$2:G$205=B27)+(ポケモンマスタ!H$2:H$205=B27))*(ポケモンマスタ!Q$2:Q$205))</f>
        <v>8</v>
      </c>
    </row>
    <row r="28" spans="1:6">
      <c r="A28" s="6">
        <v>2</v>
      </c>
      <c r="B28" s="6" t="s">
        <v>552</v>
      </c>
      <c r="C28" s="6" cm="1">
        <f t="array" ref="C28">SUMPRODUCT(((ポケモンマスタ!G$2:G$205=B28)+(ポケモンマスタ!H$2:H$205=B28))*(ポケモンマスタ!Q$2:Q$205))</f>
        <v>8</v>
      </c>
    </row>
    <row r="29" spans="1:6">
      <c r="A29" s="6">
        <v>12</v>
      </c>
      <c r="B29" s="6" t="s">
        <v>555</v>
      </c>
      <c r="C29" s="6" cm="1">
        <f t="array" ref="C29">SUMPRODUCT(((ポケモンマスタ!G$2:G$205=B29)+(ポケモンマスタ!H$2:H$205=B29))*(ポケモンマスタ!Q$2:Q$205))</f>
        <v>6</v>
      </c>
    </row>
    <row r="30" spans="1:6">
      <c r="A30" s="6">
        <v>6</v>
      </c>
      <c r="B30" s="6" t="s">
        <v>565</v>
      </c>
      <c r="C30" s="6" cm="1">
        <f t="array" ref="C30">SUMPRODUCT(((ポケモンマスタ!G$2:G$205=B30)+(ポケモンマスタ!H$2:H$205=B30))*(ポケモンマスタ!Q$2:Q$205))</f>
        <v>5</v>
      </c>
    </row>
    <row r="31" spans="1:6">
      <c r="A31" s="6">
        <v>13</v>
      </c>
      <c r="B31" s="6" t="s">
        <v>563</v>
      </c>
      <c r="C31" s="6" cm="1">
        <f t="array" ref="C31">SUMPRODUCT(((ポケモンマスタ!G$2:G$205=B31)+(ポケモンマスタ!H$2:H$205=B31))*(ポケモンマスタ!Q$2:Q$205))</f>
        <v>4</v>
      </c>
    </row>
  </sheetData>
  <phoneticPr fontId="2"/>
  <pageMargins left="0.7" right="0.7" top="0.75" bottom="0.75" header="0.3" footer="0.3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82809-6A1C-460D-ACE3-3F21375686E6}">
  <sheetPr>
    <tabColor theme="1" tint="0.499984740745262"/>
  </sheetPr>
  <dimension ref="A1:G102"/>
  <sheetViews>
    <sheetView topLeftCell="A32" workbookViewId="0">
      <selection activeCell="I21" sqref="I21"/>
    </sheetView>
  </sheetViews>
  <sheetFormatPr defaultRowHeight="18"/>
  <cols>
    <col min="1" max="7" width="15.58203125" style="9" customWidth="1"/>
  </cols>
  <sheetData>
    <row r="1" spans="1:5">
      <c r="A1" s="17" t="s">
        <v>596</v>
      </c>
    </row>
    <row r="3" spans="1:5" ht="36">
      <c r="A3" s="11" t="s">
        <v>577</v>
      </c>
      <c r="B3" s="11" t="s">
        <v>578</v>
      </c>
      <c r="C3" s="11" t="s">
        <v>579</v>
      </c>
    </row>
    <row r="4" spans="1:5">
      <c r="A4" s="14" t="s">
        <v>80</v>
      </c>
      <c r="B4" s="14" t="s">
        <v>80</v>
      </c>
      <c r="C4" s="14" t="s">
        <v>187</v>
      </c>
    </row>
    <row r="5" spans="1:5">
      <c r="A5" s="14" t="s">
        <v>187</v>
      </c>
      <c r="B5" s="14" t="s">
        <v>15</v>
      </c>
      <c r="C5" s="14" t="s">
        <v>131</v>
      </c>
    </row>
    <row r="6" spans="1:5">
      <c r="A6" s="14" t="s">
        <v>58</v>
      </c>
      <c r="B6" s="14" t="s">
        <v>9</v>
      </c>
      <c r="C6" s="10"/>
    </row>
    <row r="7" spans="1:5">
      <c r="A7" s="14" t="s">
        <v>131</v>
      </c>
      <c r="B7" s="14" t="s">
        <v>115</v>
      </c>
      <c r="C7" s="10"/>
    </row>
    <row r="8" spans="1:5">
      <c r="A8" s="14" t="s">
        <v>15</v>
      </c>
      <c r="B8" s="14" t="s">
        <v>5</v>
      </c>
      <c r="C8" s="10"/>
    </row>
    <row r="9" spans="1:5">
      <c r="A9" s="14" t="s">
        <v>9</v>
      </c>
      <c r="B9" s="10"/>
      <c r="C9" s="10"/>
    </row>
    <row r="10" spans="1:5">
      <c r="A10" s="14" t="s">
        <v>115</v>
      </c>
      <c r="B10" s="10"/>
      <c r="C10" s="10"/>
    </row>
    <row r="11" spans="1:5">
      <c r="A11" s="14" t="s">
        <v>5</v>
      </c>
      <c r="B11" s="10"/>
      <c r="C11" s="10"/>
    </row>
    <row r="12" spans="1:5">
      <c r="A12" s="14" t="s">
        <v>117</v>
      </c>
      <c r="B12" s="10"/>
      <c r="C12" s="10"/>
    </row>
    <row r="13" spans="1:5">
      <c r="A13" s="14" t="s">
        <v>133</v>
      </c>
      <c r="B13" s="10"/>
      <c r="C13" s="10"/>
    </row>
    <row r="15" spans="1:5">
      <c r="A15" s="9" t="s">
        <v>584</v>
      </c>
      <c r="B15" s="12" t="s">
        <v>580</v>
      </c>
      <c r="D15" s="9" t="s">
        <v>584</v>
      </c>
      <c r="E15" s="12" t="s">
        <v>581</v>
      </c>
    </row>
    <row r="16" spans="1:5">
      <c r="A16" s="12" t="s">
        <v>501</v>
      </c>
      <c r="B16" s="15" t="s">
        <v>188</v>
      </c>
      <c r="D16" s="13" t="s">
        <v>585</v>
      </c>
      <c r="E16" s="15" t="s">
        <v>116</v>
      </c>
    </row>
    <row r="17" spans="1:5">
      <c r="A17" s="12" t="s">
        <v>501</v>
      </c>
      <c r="B17" s="15" t="s">
        <v>39</v>
      </c>
      <c r="D17" s="12" t="s">
        <v>586</v>
      </c>
      <c r="E17" s="15" t="s">
        <v>207</v>
      </c>
    </row>
    <row r="18" spans="1:5">
      <c r="A18" s="12" t="s">
        <v>504</v>
      </c>
      <c r="B18" s="15" t="s">
        <v>10</v>
      </c>
      <c r="D18" s="12" t="s">
        <v>259</v>
      </c>
      <c r="E18" s="15" t="s">
        <v>163</v>
      </c>
    </row>
    <row r="19" spans="1:5">
      <c r="A19" s="12" t="s">
        <v>504</v>
      </c>
      <c r="B19" s="15" t="s">
        <v>116</v>
      </c>
      <c r="D19" s="12" t="s">
        <v>586</v>
      </c>
      <c r="E19" s="15" t="s">
        <v>251</v>
      </c>
    </row>
    <row r="20" spans="1:5" ht="36">
      <c r="A20" s="12" t="s">
        <v>551</v>
      </c>
      <c r="B20" s="15" t="s">
        <v>6</v>
      </c>
      <c r="D20" s="12" t="s">
        <v>587</v>
      </c>
      <c r="E20" s="15" t="s">
        <v>16</v>
      </c>
    </row>
    <row r="21" spans="1:5">
      <c r="A21" s="12" t="s">
        <v>553</v>
      </c>
      <c r="B21" s="15" t="s">
        <v>81</v>
      </c>
      <c r="D21" s="13" t="s">
        <v>588</v>
      </c>
      <c r="E21" s="15" t="s">
        <v>10</v>
      </c>
    </row>
    <row r="22" spans="1:5">
      <c r="A22" s="12" t="s">
        <v>562</v>
      </c>
      <c r="B22" s="15" t="s">
        <v>179</v>
      </c>
      <c r="D22" s="12" t="s">
        <v>571</v>
      </c>
      <c r="E22" s="15" t="s">
        <v>77</v>
      </c>
    </row>
    <row r="23" spans="1:5">
      <c r="A23" s="12" t="s">
        <v>256</v>
      </c>
      <c r="B23" s="15" t="s">
        <v>16</v>
      </c>
    </row>
    <row r="25" spans="1:5">
      <c r="B25" s="12" t="s">
        <v>582</v>
      </c>
      <c r="E25" s="12" t="s">
        <v>583</v>
      </c>
    </row>
    <row r="26" spans="1:5">
      <c r="A26" s="12" t="s">
        <v>480</v>
      </c>
      <c r="B26" s="15" t="s">
        <v>116</v>
      </c>
      <c r="D26" s="12" t="s">
        <v>112</v>
      </c>
      <c r="E26" s="15" t="s">
        <v>6</v>
      </c>
    </row>
    <row r="27" spans="1:5">
      <c r="A27" s="12" t="s">
        <v>480</v>
      </c>
      <c r="B27" s="15" t="s">
        <v>10</v>
      </c>
      <c r="D27" s="12" t="s">
        <v>142</v>
      </c>
      <c r="E27" s="15" t="s">
        <v>118</v>
      </c>
    </row>
    <row r="28" spans="1:5">
      <c r="A28" s="12" t="s">
        <v>480</v>
      </c>
      <c r="B28" s="15" t="s">
        <v>16</v>
      </c>
      <c r="D28" s="12" t="s">
        <v>589</v>
      </c>
      <c r="E28" s="15" t="s">
        <v>16</v>
      </c>
    </row>
    <row r="29" spans="1:5">
      <c r="A29" s="12" t="s">
        <v>549</v>
      </c>
      <c r="B29" s="15" t="s">
        <v>177</v>
      </c>
      <c r="D29" s="12" t="s">
        <v>590</v>
      </c>
      <c r="E29" s="15" t="s">
        <v>81</v>
      </c>
    </row>
    <row r="30" spans="1:5">
      <c r="A30" s="12" t="s">
        <v>517</v>
      </c>
      <c r="B30" s="15" t="s">
        <v>234</v>
      </c>
      <c r="D30" s="12" t="s">
        <v>591</v>
      </c>
      <c r="E30" s="15" t="s">
        <v>374</v>
      </c>
    </row>
    <row r="31" spans="1:5">
      <c r="A31" s="12" t="s">
        <v>518</v>
      </c>
      <c r="B31" s="15" t="s">
        <v>85</v>
      </c>
      <c r="D31" s="12" t="s">
        <v>592</v>
      </c>
      <c r="E31" s="15" t="s">
        <v>81</v>
      </c>
    </row>
    <row r="32" spans="1:5">
      <c r="D32" s="12" t="s">
        <v>527</v>
      </c>
      <c r="E32" s="15" t="s">
        <v>525</v>
      </c>
    </row>
    <row r="34" spans="1:1">
      <c r="A34" s="16" t="s">
        <v>593</v>
      </c>
    </row>
    <row r="35" spans="1:1">
      <c r="A35" s="14" t="s">
        <v>80</v>
      </c>
    </row>
    <row r="36" spans="1:1">
      <c r="A36" s="14" t="s">
        <v>187</v>
      </c>
    </row>
    <row r="37" spans="1:1">
      <c r="A37" s="14" t="s">
        <v>58</v>
      </c>
    </row>
    <row r="38" spans="1:1">
      <c r="A38" s="14" t="s">
        <v>131</v>
      </c>
    </row>
    <row r="39" spans="1:1">
      <c r="A39" s="14" t="s">
        <v>15</v>
      </c>
    </row>
    <row r="40" spans="1:1">
      <c r="A40" s="14" t="s">
        <v>9</v>
      </c>
    </row>
    <row r="41" spans="1:1">
      <c r="A41" s="14" t="s">
        <v>115</v>
      </c>
    </row>
    <row r="42" spans="1:1">
      <c r="A42" s="14" t="s">
        <v>5</v>
      </c>
    </row>
    <row r="43" spans="1:1">
      <c r="A43" s="14" t="s">
        <v>117</v>
      </c>
    </row>
    <row r="44" spans="1:1">
      <c r="A44" s="14" t="s">
        <v>133</v>
      </c>
    </row>
    <row r="45" spans="1:1">
      <c r="A45" s="14" t="s">
        <v>80</v>
      </c>
    </row>
    <row r="46" spans="1:1">
      <c r="A46" s="14" t="s">
        <v>15</v>
      </c>
    </row>
    <row r="47" spans="1:1">
      <c r="A47" s="14" t="s">
        <v>9</v>
      </c>
    </row>
    <row r="48" spans="1:1">
      <c r="A48" s="14" t="s">
        <v>115</v>
      </c>
    </row>
    <row r="49" spans="1:1">
      <c r="A49" s="14" t="s">
        <v>5</v>
      </c>
    </row>
    <row r="50" spans="1:1">
      <c r="A50" s="14" t="s">
        <v>187</v>
      </c>
    </row>
    <row r="51" spans="1:1">
      <c r="A51" s="14" t="s">
        <v>131</v>
      </c>
    </row>
    <row r="52" spans="1:1">
      <c r="A52" s="15" t="s">
        <v>188</v>
      </c>
    </row>
    <row r="53" spans="1:1">
      <c r="A53" s="15" t="s">
        <v>39</v>
      </c>
    </row>
    <row r="54" spans="1:1">
      <c r="A54" s="15" t="s">
        <v>10</v>
      </c>
    </row>
    <row r="55" spans="1:1">
      <c r="A55" s="15" t="s">
        <v>116</v>
      </c>
    </row>
    <row r="56" spans="1:1">
      <c r="A56" s="15" t="s">
        <v>6</v>
      </c>
    </row>
    <row r="57" spans="1:1">
      <c r="A57" s="15" t="s">
        <v>81</v>
      </c>
    </row>
    <row r="58" spans="1:1">
      <c r="A58" s="15" t="s">
        <v>179</v>
      </c>
    </row>
    <row r="59" spans="1:1">
      <c r="A59" s="15" t="s">
        <v>16</v>
      </c>
    </row>
    <row r="60" spans="1:1">
      <c r="A60" s="15" t="s">
        <v>116</v>
      </c>
    </row>
    <row r="61" spans="1:1">
      <c r="A61" s="15" t="s">
        <v>207</v>
      </c>
    </row>
    <row r="62" spans="1:1">
      <c r="A62" s="15" t="s">
        <v>163</v>
      </c>
    </row>
    <row r="63" spans="1:1">
      <c r="A63" s="15" t="s">
        <v>251</v>
      </c>
    </row>
    <row r="64" spans="1:1">
      <c r="A64" s="15" t="s">
        <v>16</v>
      </c>
    </row>
    <row r="65" spans="1:1">
      <c r="A65" s="15" t="s">
        <v>10</v>
      </c>
    </row>
    <row r="66" spans="1:1">
      <c r="A66" s="15" t="s">
        <v>77</v>
      </c>
    </row>
    <row r="67" spans="1:1">
      <c r="A67" s="15" t="s">
        <v>116</v>
      </c>
    </row>
    <row r="68" spans="1:1">
      <c r="A68" s="15" t="s">
        <v>10</v>
      </c>
    </row>
    <row r="69" spans="1:1">
      <c r="A69" s="15" t="s">
        <v>16</v>
      </c>
    </row>
    <row r="70" spans="1:1">
      <c r="A70" s="15" t="s">
        <v>177</v>
      </c>
    </row>
    <row r="71" spans="1:1">
      <c r="A71" s="15" t="s">
        <v>234</v>
      </c>
    </row>
    <row r="72" spans="1:1">
      <c r="A72" s="15" t="s">
        <v>85</v>
      </c>
    </row>
    <row r="73" spans="1:1">
      <c r="A73" s="15" t="s">
        <v>6</v>
      </c>
    </row>
    <row r="74" spans="1:1">
      <c r="A74" s="15" t="s">
        <v>118</v>
      </c>
    </row>
    <row r="75" spans="1:1">
      <c r="A75" s="15" t="s">
        <v>16</v>
      </c>
    </row>
    <row r="76" spans="1:1">
      <c r="A76" s="15" t="s">
        <v>81</v>
      </c>
    </row>
    <row r="77" spans="1:1">
      <c r="A77" s="15" t="s">
        <v>374</v>
      </c>
    </row>
    <row r="78" spans="1:1">
      <c r="A78" s="15" t="s">
        <v>81</v>
      </c>
    </row>
    <row r="79" spans="1:1">
      <c r="A79" s="15" t="s">
        <v>525</v>
      </c>
    </row>
    <row r="81" spans="1:2">
      <c r="A81" s="16" t="s">
        <v>594</v>
      </c>
      <c r="B81" s="16" t="s">
        <v>595</v>
      </c>
    </row>
    <row r="82" spans="1:2">
      <c r="A82" s="9" t="s">
        <v>15</v>
      </c>
      <c r="B82" s="9">
        <f t="shared" ref="B82:B102" si="0">COUNTIF(A$35:A$79,A82)</f>
        <v>6</v>
      </c>
    </row>
    <row r="83" spans="1:2">
      <c r="A83" s="9" t="s">
        <v>80</v>
      </c>
      <c r="B83" s="9">
        <f t="shared" si="0"/>
        <v>5</v>
      </c>
    </row>
    <row r="84" spans="1:2">
      <c r="A84" s="9" t="s">
        <v>9</v>
      </c>
      <c r="B84" s="9">
        <f t="shared" si="0"/>
        <v>5</v>
      </c>
    </row>
    <row r="85" spans="1:2">
      <c r="A85" s="9" t="s">
        <v>115</v>
      </c>
      <c r="B85" s="9">
        <f t="shared" si="0"/>
        <v>5</v>
      </c>
    </row>
    <row r="86" spans="1:2">
      <c r="A86" s="9" t="s">
        <v>5</v>
      </c>
      <c r="B86" s="9">
        <f t="shared" si="0"/>
        <v>4</v>
      </c>
    </row>
    <row r="87" spans="1:2">
      <c r="A87" s="9" t="s">
        <v>187</v>
      </c>
      <c r="B87" s="9">
        <f t="shared" si="0"/>
        <v>3</v>
      </c>
    </row>
    <row r="88" spans="1:2">
      <c r="A88" s="9" t="s">
        <v>131</v>
      </c>
      <c r="B88" s="9">
        <f t="shared" si="0"/>
        <v>2</v>
      </c>
    </row>
    <row r="89" spans="1:2">
      <c r="A89" s="9" t="s">
        <v>117</v>
      </c>
      <c r="B89" s="9">
        <f t="shared" si="0"/>
        <v>2</v>
      </c>
    </row>
    <row r="90" spans="1:2">
      <c r="A90" s="9" t="s">
        <v>58</v>
      </c>
      <c r="B90" s="9">
        <f t="shared" si="0"/>
        <v>1</v>
      </c>
    </row>
    <row r="91" spans="1:2">
      <c r="A91" s="9" t="s">
        <v>133</v>
      </c>
      <c r="B91" s="9">
        <f t="shared" si="0"/>
        <v>1</v>
      </c>
    </row>
    <row r="92" spans="1:2">
      <c r="A92" s="9" t="s">
        <v>38</v>
      </c>
      <c r="B92" s="9">
        <f t="shared" si="0"/>
        <v>1</v>
      </c>
    </row>
    <row r="93" spans="1:2">
      <c r="A93" s="9" t="s">
        <v>178</v>
      </c>
      <c r="B93" s="9">
        <f t="shared" si="0"/>
        <v>1</v>
      </c>
    </row>
    <row r="94" spans="1:2">
      <c r="A94" s="9" t="s">
        <v>206</v>
      </c>
      <c r="B94" s="9">
        <f t="shared" si="0"/>
        <v>1</v>
      </c>
    </row>
    <row r="95" spans="1:2">
      <c r="A95" s="9" t="s">
        <v>162</v>
      </c>
      <c r="B95" s="9">
        <f t="shared" si="0"/>
        <v>1</v>
      </c>
    </row>
    <row r="96" spans="1:2">
      <c r="A96" s="9" t="s">
        <v>250</v>
      </c>
      <c r="B96" s="9">
        <f t="shared" si="0"/>
        <v>1</v>
      </c>
    </row>
    <row r="97" spans="1:2">
      <c r="A97" s="9" t="s">
        <v>76</v>
      </c>
      <c r="B97" s="9">
        <f t="shared" si="0"/>
        <v>1</v>
      </c>
    </row>
    <row r="98" spans="1:2">
      <c r="A98" s="9" t="s">
        <v>176</v>
      </c>
      <c r="B98" s="9">
        <f t="shared" si="0"/>
        <v>1</v>
      </c>
    </row>
    <row r="99" spans="1:2">
      <c r="A99" s="9" t="s">
        <v>233</v>
      </c>
      <c r="B99" s="9">
        <f t="shared" si="0"/>
        <v>1</v>
      </c>
    </row>
    <row r="100" spans="1:2">
      <c r="A100" s="9" t="s">
        <v>84</v>
      </c>
      <c r="B100" s="9">
        <f t="shared" si="0"/>
        <v>1</v>
      </c>
    </row>
    <row r="101" spans="1:2">
      <c r="A101" s="9" t="s">
        <v>463</v>
      </c>
      <c r="B101" s="9">
        <f t="shared" si="0"/>
        <v>1</v>
      </c>
    </row>
    <row r="102" spans="1:2">
      <c r="A102" s="9" t="s">
        <v>566</v>
      </c>
      <c r="B102" s="9">
        <f t="shared" si="0"/>
        <v>1</v>
      </c>
    </row>
  </sheetData>
  <autoFilter ref="A81:B102" xr:uid="{96282809-6A1C-460D-ACE3-3F21375686E6}">
    <sortState xmlns:xlrd2="http://schemas.microsoft.com/office/spreadsheetml/2017/richdata2" ref="A82:B102">
      <sortCondition descending="1" ref="B81:B102"/>
    </sortState>
  </autoFilter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全コメントデータ</vt:lpstr>
      <vt:lpstr>ポケモン集計</vt:lpstr>
      <vt:lpstr>ポケモンマスタ</vt:lpstr>
      <vt:lpstr>印象集計</vt:lpstr>
      <vt:lpstr>タイプカウント</vt:lpstr>
      <vt:lpstr>複数あげた人の意見</vt:lpstr>
      <vt:lpstr>パーティづくり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紀伊春香</dc:creator>
  <cp:lastModifiedBy>春香 紀伊</cp:lastModifiedBy>
  <dcterms:created xsi:type="dcterms:W3CDTF">2015-06-05T18:19:34Z</dcterms:created>
  <dcterms:modified xsi:type="dcterms:W3CDTF">2025-12-25T10:59:23Z</dcterms:modified>
</cp:coreProperties>
</file>